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Rat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;&quot;-&quot;"/>
    <numFmt numFmtId="166" formatCode="0.00%;(0.00%);0.00%"/>
    <numFmt numFmtId="167" formatCode="&quot;✓&quot;;;&quot;✗&quot;"/>
    <numFmt numFmtId="168" formatCode="0.00&quot;x&quot;;(0.00&quot;x&quot;)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color rgb="00666666"/>
      <sz val="9"/>
    </font>
    <font>
      <name val="Arial"/>
      <color rgb="000563C1"/>
      <sz val="10"/>
      <u val="single"/>
    </font>
    <font>
      <name val="Arial"/>
      <b val="1"/>
      <i val="1"/>
      <color rgb="0044546A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3EA"/>
      </patternFill>
    </fill>
    <fill>
      <patternFill patternType="solid">
        <fgColor rgb="00EEF1F5"/>
      </patternFill>
    </fill>
  </fills>
  <borders count="3">
    <border>
      <left/>
      <right/>
      <top/>
      <bottom/>
      <diagonal/>
    </border>
    <border>
      <bottom style="thin">
        <color rgb="00B7B7B7"/>
      </bottom>
    </border>
    <border>
      <bottom style="hair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3" fontId="2" fillId="2" borderId="0" applyAlignment="1" pivotButton="0" quotePrefix="0" xfId="0">
      <alignment horizontal="left" vertical="top"/>
    </xf>
    <xf numFmtId="0" fontId="4" fillId="0" borderId="0" pivotButton="0" quotePrefix="0" xfId="0"/>
    <xf numFmtId="164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top" wrapText="1"/>
    </xf>
    <xf numFmtId="0" fontId="3" fillId="3" borderId="0" pivotButton="0" quotePrefix="0" xfId="0"/>
    <xf numFmtId="0" fontId="8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4" fillId="0" borderId="2" applyAlignment="1" pivotButton="0" quotePrefix="0" xfId="0">
      <alignment indent="1"/>
    </xf>
    <xf numFmtId="0" fontId="5" fillId="0" borderId="2" pivotButton="0" quotePrefix="0" xfId="0"/>
    <xf numFmtId="165" fontId="2" fillId="0" borderId="2" pivotButton="0" quotePrefix="0" xfId="0"/>
    <xf numFmtId="165" fontId="2" fillId="2" borderId="2" pivotButton="0" quotePrefix="0" xfId="0"/>
    <xf numFmtId="166" fontId="4" fillId="0" borderId="2" pivotButton="0" quotePrefix="0" xfId="0"/>
    <xf numFmtId="167" fontId="4" fillId="0" borderId="2" applyAlignment="1" pivotButton="0" quotePrefix="0" xfId="0">
      <alignment horizontal="center" vertical="center" wrapText="1"/>
    </xf>
    <xf numFmtId="0" fontId="2" fillId="2" borderId="2" pivotButton="0" quotePrefix="0" xfId="0"/>
    <xf numFmtId="0" fontId="0" fillId="0" borderId="2" pivotButton="0" quotePrefix="0" xfId="0"/>
    <xf numFmtId="0" fontId="3" fillId="0" borderId="2" pivotButton="0" quotePrefix="0" xfId="0"/>
    <xf numFmtId="165" fontId="2" fillId="0" borderId="0" pivotButton="0" quotePrefix="0" xfId="0"/>
    <xf numFmtId="165" fontId="2" fillId="2" borderId="0" pivotButton="0" quotePrefix="0" xfId="0"/>
    <xf numFmtId="166" fontId="4" fillId="0" borderId="0" pivotButton="0" quotePrefix="0" xfId="0"/>
    <xf numFmtId="167" fontId="4" fillId="0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165" fontId="8" fillId="0" borderId="0" pivotButton="0" quotePrefix="0" xfId="0"/>
    <xf numFmtId="168" fontId="8" fillId="0" borderId="0" pivotButton="0" quotePrefix="0" xfId="0"/>
    <xf numFmtId="168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creditmemo</author>
  </authors>
  <commentList>
    <comment ref="C7" authorId="0" shapeId="0">
      <text>
        <t>Tool: 12,260,375,000 dollars.</t>
      </text>
    </comment>
    <comment ref="G7" authorId="0" shapeId="0">
      <text>
        <t>Tool: 13,007,186,000 dollars.</t>
      </text>
    </comment>
    <comment ref="C8" authorId="0" shapeId="0">
      <text>
        <t>Tool: 555,175,000 dollars.</t>
      </text>
    </comment>
    <comment ref="G8" authorId="0" shapeId="0">
      <text>
        <t>Tool: 635,883,000 dollars.</t>
      </text>
    </comment>
    <comment ref="C9" authorId="0" shapeId="0">
      <text>
        <t>Tool: 12,815,550,000 dollars.</t>
      </text>
    </comment>
    <comment ref="G9" authorId="0" shapeId="0">
      <text>
        <t>Tool: 13,643,069,000 dollars.</t>
      </text>
    </comment>
    <comment ref="C11" authorId="0" shapeId="0">
      <text>
        <t>Tool: 8,598,521,000 dollars.</t>
      </text>
    </comment>
    <comment ref="G11" authorId="0" shapeId="0">
      <text>
        <t>Tool: 9,243,476,000 dollars.</t>
      </text>
    </comment>
    <comment ref="C12" authorId="0" shapeId="0">
      <text>
        <t>Tool: 1,538,341,000 dollars.</t>
      </text>
    </comment>
    <comment ref="G12" authorId="0" shapeId="0">
      <text>
        <t>Tool: 1,673,630,000 dollars.</t>
      </text>
    </comment>
    <comment ref="C13" authorId="0" shapeId="0">
      <text>
        <t>Tool: 723,860,000 dollars.</t>
      </text>
    </comment>
    <comment ref="G13" authorId="0" shapeId="0">
      <text>
        <t>Tool: 715,348,000 dollars.</t>
      </text>
    </comment>
    <comment ref="C14" authorId="0" shapeId="0">
      <text>
        <t>Tool: -26,189,000 dollars.</t>
      </text>
    </comment>
    <comment ref="G14" authorId="0" shapeId="0">
      <text>
        <t>Tool: -33,000,000 dollars.</t>
      </text>
    </comment>
    <comment ref="C15" authorId="0" shapeId="0">
      <text>
        <t>Tool: 0 dollars.</t>
      </text>
    </comment>
    <comment ref="G15" authorId="0" shapeId="0">
      <text>
        <t>Tool: 0 dollars.</t>
      </text>
    </comment>
    <comment ref="C16" authorId="0" shapeId="0">
      <text>
        <t>Tool: -109,466,000 dollars.</t>
      </text>
    </comment>
    <comment ref="G16" authorId="0" shapeId="0">
      <text>
        <t>Tool: 0 dollars.</t>
      </text>
    </comment>
    <comment ref="C17" authorId="0" shapeId="0">
      <text>
        <t>Tool: 10,725,067,000 dollars.</t>
      </text>
    </comment>
    <comment ref="G17" authorId="0" shapeId="0">
      <text>
        <t>Tool: 11,599,454,000 dollars.</t>
      </text>
    </comment>
    <comment ref="C18" authorId="0" shapeId="0">
      <text>
        <t>Tool: 2,090,483,000 dollars.</t>
      </text>
    </comment>
    <comment ref="G18" authorId="0" shapeId="0">
      <text>
        <t>Tool: 2,043,615,000 dollars.</t>
      </text>
    </comment>
    <comment ref="C19" authorId="0" shapeId="0">
      <text>
        <t>Tool: -470,469,000 dollars.</t>
      </text>
    </comment>
    <comment ref="G19" authorId="0" shapeId="0">
      <text>
        <t>Tool: -579,926,000 dollars.</t>
      </text>
    </comment>
    <comment ref="C20" authorId="0" shapeId="0">
      <text>
        <t>Tool: -19,813,000 dollars.</t>
      </text>
    </comment>
    <comment ref="G20" authorId="0" shapeId="0">
      <text>
        <t>Tool: -14,178,000 dollars.</t>
      </text>
    </comment>
    <comment ref="C21" authorId="0" shapeId="0">
      <text>
        <t>Tool: -69,808,000 dollars.</t>
      </text>
    </comment>
    <comment ref="G21" authorId="0" shapeId="0">
      <text>
        <t>Tool: -102,688,000 dollars.</t>
      </text>
    </comment>
    <comment ref="C22" authorId="0" shapeId="0">
      <text>
        <t>Tool: 1,530,393,000 dollars.</t>
      </text>
    </comment>
    <comment ref="G22" authorId="0" shapeId="0">
      <text>
        <t>Tool: 1,346,823,000 dollars.</t>
      </text>
    </comment>
    <comment ref="C23" authorId="0" shapeId="0">
      <text>
        <t>Tool: 279,656,000 dollars.</t>
      </text>
    </comment>
    <comment ref="G23" authorId="0" shapeId="0">
      <text>
        <t>Tool: 293,107,000 dollars.</t>
      </text>
    </comment>
    <comment ref="C24" authorId="0" shapeId="0">
      <text>
        <t>Tool: 1,250,737,000 dollars.</t>
      </text>
    </comment>
    <comment ref="G24" authorId="0" shapeId="0">
      <text>
        <t>Tool: 1,053,716,000 dollars.</t>
      </text>
    </comment>
    <comment ref="C25" authorId="0" shapeId="0">
      <text>
        <t>Tool: 0 dollars.</t>
      </text>
    </comment>
    <comment ref="G25" authorId="0" shapeId="0">
      <text>
        <t>Tool: 25,000,000 dollars.</t>
      </text>
    </comment>
    <comment ref="C26" authorId="0" shapeId="0">
      <text>
        <t>Tool: 1,250,737,000 dollars.</t>
      </text>
    </comment>
    <comment ref="G26" authorId="0" shapeId="0">
      <text>
        <t>Tool: 1,078,716,000 dollars.</t>
      </text>
    </comment>
    <comment ref="C27" authorId="0" shapeId="0">
      <text>
        <t>Tool: -314,395,000 dollars.</t>
      </text>
    </comment>
    <comment ref="G27" authorId="0" shapeId="0">
      <text>
        <t>Tool: -331,913,000 dollars.</t>
      </text>
    </comment>
    <comment ref="C28" authorId="0" shapeId="0">
      <text>
        <t>Tool: 936,342,000 dollars.</t>
      </text>
    </comment>
    <comment ref="G28" authorId="0" shapeId="0">
      <text>
        <t>Tool: 746,803,000 dollars.</t>
      </text>
    </comment>
    <comment ref="C32" authorId="0" shapeId="0">
      <text>
        <t>Tool: 936,342,000 dollars.</t>
      </text>
    </comment>
    <comment ref="G32" authorId="0" shapeId="0">
      <text>
        <t>Tool: 721,803,000 dollars.</t>
      </text>
    </comment>
    <comment ref="C33" authorId="0" shapeId="0">
      <text>
        <t>Tool: 0 dollars.</t>
      </text>
    </comment>
    <comment ref="G33" authorId="0" shapeId="0">
      <text>
        <t>Tool: 25,000,000 dollars.</t>
      </text>
    </comment>
    <comment ref="C34" authorId="0" shapeId="0">
      <text>
        <t>Tool: 936,342,000 dollars.</t>
      </text>
    </comment>
    <comment ref="G34" authorId="0" shapeId="0">
      <text>
        <t>Tool: 746,803,000 dollars.</t>
      </text>
    </comment>
  </commentList>
</comments>
</file>

<file path=xl/comments/comment2.xml><?xml version="1.0" encoding="utf-8"?>
<comments xmlns="http://schemas.openxmlformats.org/spreadsheetml/2006/main">
  <authors>
    <author>creditmemo</author>
  </authors>
  <commentList>
    <comment ref="C7" authorId="0" shapeId="0">
      <text>
        <t>Tool: 794,933,000 dollars.</t>
      </text>
    </comment>
    <comment ref="G7" authorId="0" shapeId="0">
      <text>
        <t>Tool: 676,438,000 dollars.</t>
      </text>
    </comment>
    <comment ref="C8" authorId="0" shapeId="0">
      <text>
        <t>Tool: 84,892,000 dollars.</t>
      </text>
    </comment>
    <comment ref="G8" authorId="0" shapeId="0">
      <text>
        <t>Tool: 81,309,000 dollars.</t>
      </text>
    </comment>
    <comment ref="C9" authorId="0" shapeId="0">
      <text>
        <t>Tool: 51,064,000 dollars.</t>
      </text>
    </comment>
    <comment ref="G9" authorId="0" shapeId="0">
      <text>
        <t>Tool: 24,303,000 dollars.</t>
      </text>
    </comment>
    <comment ref="C10" authorId="0" shapeId="0">
      <text>
        <t>Tool: 2,146,975,000 dollars.</t>
      </text>
    </comment>
    <comment ref="G10" authorId="0" shapeId="0">
      <text>
        <t>Tool: 2,414,690,000 dollars.</t>
      </text>
    </comment>
    <comment ref="C11" authorId="0" shapeId="0">
      <text>
        <t>Tool: 134,559,000 dollars.</t>
      </text>
    </comment>
    <comment ref="G11" authorId="0" shapeId="0">
      <text>
        <t>Tool: 160,627,000 dollars.</t>
      </text>
    </comment>
    <comment ref="C12" authorId="0" shapeId="0">
      <text>
        <t>Tool: 383,166,000 dollars.</t>
      </text>
    </comment>
    <comment ref="G12" authorId="0" shapeId="0">
      <text>
        <t>Tool: 494,414,000 dollars.</t>
      </text>
    </comment>
    <comment ref="C13" authorId="0" shapeId="0">
      <text>
        <t>Tool: 122,948,000 dollars.</t>
      </text>
    </comment>
    <comment ref="G13" authorId="0" shapeId="0">
      <text>
        <t>Tool: 156,285,000 dollars.</t>
      </text>
    </comment>
    <comment ref="C14" authorId="0" shapeId="0">
      <text>
        <t>Tool: 27,535,000 dollars.</t>
      </text>
    </comment>
    <comment ref="G14" authorId="0" shapeId="0">
      <text>
        <t>Tool: 49,937,000 dollars.</t>
      </text>
    </comment>
    <comment ref="C15" authorId="0" shapeId="0">
      <text>
        <t>Tool: 3,746,072,000 dollars.</t>
      </text>
    </comment>
    <comment ref="G15" authorId="0" shapeId="0">
      <text>
        <t>Tool: 4,058,003,000 dollars.</t>
      </text>
    </comment>
    <comment ref="C16" authorId="0" shapeId="0">
      <text>
        <t>Tool: 2,940,916,000 dollars.</t>
      </text>
    </comment>
    <comment ref="G16" authorId="0" shapeId="0">
      <text>
        <t>Tool: 2,812,966,000 dollars.</t>
      </text>
    </comment>
    <comment ref="C17" authorId="0" shapeId="0">
      <text>
        <t>Tool: 2,393,558,000 dollars.</t>
      </text>
    </comment>
    <comment ref="G17" authorId="0" shapeId="0">
      <text>
        <t>Tool: 2,397,179,000 dollars.</t>
      </text>
    </comment>
    <comment ref="C18" authorId="0" shapeId="0">
      <text>
        <t>Tool: 197,431,000 dollars.</t>
      </text>
    </comment>
    <comment ref="G18" authorId="0" shapeId="0">
      <text>
        <t>Tool: 222,125,000 dollars.</t>
      </text>
    </comment>
    <comment ref="C19" authorId="0" shapeId="0">
      <text>
        <t>Tool: 336,684,000 dollars.</t>
      </text>
    </comment>
    <comment ref="G19" authorId="0" shapeId="0">
      <text>
        <t>Tool: 157,249,000 dollars.</t>
      </text>
    </comment>
    <comment ref="C20" authorId="0" shapeId="0">
      <text>
        <t>Tool: 33,660,000 dollars.</t>
      </text>
    </comment>
    <comment ref="G20" authorId="0" shapeId="0">
      <text>
        <t>Tool: 40,966,000 dollars.</t>
      </text>
    </comment>
    <comment ref="C21" authorId="0" shapeId="0">
      <text>
        <t>Tool: 261,731,000 dollars.</t>
      </text>
    </comment>
    <comment ref="G21" authorId="0" shapeId="0">
      <text>
        <t>Tool: 246,520,000 dollars.</t>
      </text>
    </comment>
    <comment ref="C22" authorId="0" shapeId="0">
      <text>
        <t>Tool: 7,375,216,000 dollars.</t>
      </text>
    </comment>
    <comment ref="G22" authorId="0" shapeId="0">
      <text>
        <t>Tool: 7,545,095,000 dollars.</t>
      </text>
    </comment>
    <comment ref="C23" authorId="0" shapeId="0">
      <text>
        <t>Tool: 17,285,268,000 dollars.</t>
      </text>
    </comment>
    <comment ref="G23" authorId="0" shapeId="0">
      <text>
        <t>Tool: 17,480,103,000 dollars.</t>
      </text>
    </comment>
    <comment ref="C25" authorId="0" shapeId="0">
      <text>
        <t>Tool: 547,200,000 dollars.</t>
      </text>
    </comment>
    <comment ref="G25" authorId="0" shapeId="0">
      <text>
        <t>Tool: 696,148,000 dollars.</t>
      </text>
    </comment>
    <comment ref="C26" authorId="0" shapeId="0">
      <text>
        <t>Tool: 934,145,000 dollars.</t>
      </text>
    </comment>
    <comment ref="G26" authorId="0" shapeId="0">
      <text>
        <t>Tool: 893,024,000 dollars.</t>
      </text>
    </comment>
    <comment ref="C27" authorId="0" shapeId="0">
      <text>
        <t>Tool: 800,484,000 dollars.</t>
      </text>
    </comment>
    <comment ref="G27" authorId="0" shapeId="0">
      <text>
        <t>Tool: 793,478,000 dollars.</t>
      </text>
    </comment>
    <comment ref="C28" authorId="0" shapeId="0">
      <text>
        <t>Tool: 410,411,000 dollars.</t>
      </text>
    </comment>
    <comment ref="G28" authorId="0" shapeId="0">
      <text>
        <t>Tool: 425,484,000 dollars.</t>
      </text>
    </comment>
    <comment ref="C29" authorId="0" shapeId="0">
      <text>
        <t>Tool: 270,867,000 dollars.</t>
      </text>
    </comment>
    <comment ref="G29" authorId="0" shapeId="0">
      <text>
        <t>Tool: 109,201,000 dollars.</t>
      </text>
    </comment>
    <comment ref="C30" authorId="0" shapeId="0">
      <text>
        <t>Tool: 10,303,000 dollars.</t>
      </text>
    </comment>
    <comment ref="G30" authorId="0" shapeId="0">
      <text>
        <t>Tool: 24,359,000 dollars.</t>
      </text>
    </comment>
    <comment ref="C31" authorId="0" shapeId="0">
      <text>
        <t>Tool: 0 dollars.</t>
      </text>
    </comment>
    <comment ref="G31" authorId="0" shapeId="0">
      <text>
        <t>Tool: 199,940,000 dollars.</t>
      </text>
    </comment>
    <comment ref="C32" authorId="0" shapeId="0">
      <text>
        <t>Tool: 2,973,410,000 dollars.</t>
      </text>
    </comment>
    <comment ref="G32" authorId="0" shapeId="0">
      <text>
        <t>Tool: 3,141,634,000 dollars.</t>
      </text>
    </comment>
    <comment ref="C33" authorId="0" shapeId="0">
      <text>
        <t>Tool: 2,209,655,000 dollars.</t>
      </text>
    </comment>
    <comment ref="G33" authorId="0" shapeId="0">
      <text>
        <t>Tool: 2,175,658,000 dollars.</t>
      </text>
    </comment>
    <comment ref="C34" authorId="0" shapeId="0">
      <text>
        <t>Tool: 9,175,903,000 dollars.</t>
      </text>
    </comment>
    <comment ref="G34" authorId="0" shapeId="0">
      <text>
        <t>Tool: 10,163,988,000 dollars.</t>
      </text>
    </comment>
    <comment ref="C35" authorId="0" shapeId="0">
      <text>
        <t>Tool: 169,588,000 dollars.</t>
      </text>
    </comment>
    <comment ref="G35" authorId="0" shapeId="0">
      <text>
        <t>Tool: 83,516,000 dollars.</t>
      </text>
    </comment>
    <comment ref="C36" authorId="0" shapeId="0">
      <text>
        <t>Tool: 665,361,000 dollars.</t>
      </text>
    </comment>
    <comment ref="G36" authorId="0" shapeId="0">
      <text>
        <t>Tool: 756,869,000 dollars.</t>
      </text>
    </comment>
    <comment ref="C37" authorId="0" shapeId="0">
      <text>
        <t>Tool: 15,193,917,000 dollars.</t>
      </text>
    </comment>
    <comment ref="G37" authorId="0" shapeId="0">
      <text>
        <t>Tool: 16,321,665,000 dollars.</t>
      </text>
    </comment>
    <comment ref="C39" authorId="0" shapeId="0">
      <text>
        <t>Tool: 1,695,483,000 dollars.</t>
      </text>
    </comment>
    <comment ref="G39" authorId="0" shapeId="0">
      <text>
        <t>Tool: 1,532,166,000 dollars.</t>
      </text>
    </comment>
    <comment ref="C41" authorId="0" shapeId="0">
      <text>
        <t>Tool: 0 dollars.</t>
      </text>
    </comment>
    <comment ref="G41" authorId="0" shapeId="0">
      <text>
        <t>Tool: 0 dollars.</t>
      </text>
    </comment>
    <comment ref="C42" authorId="0" shapeId="0">
      <text>
        <t>Tool: 90,000 dollars.</t>
      </text>
    </comment>
    <comment ref="G42" authorId="0" shapeId="0">
      <text>
        <t>Tool: 69,000 dollars.</t>
      </text>
    </comment>
    <comment ref="C43" authorId="0" shapeId="0">
      <text>
        <t>Tool: 286,270,000 dollars.</t>
      </text>
    </comment>
    <comment ref="G43" authorId="0" shapeId="0">
      <text>
        <t>Tool: 0 dollars.</t>
      </text>
    </comment>
    <comment ref="C44" authorId="0" shapeId="0">
      <text>
        <t>Tool: 1,534,630,000 dollars.</t>
      </text>
    </comment>
    <comment ref="G44" authorId="0" shapeId="0">
      <text>
        <t>Tool: -328,428,000 dollars.</t>
      </text>
    </comment>
    <comment ref="C45" authorId="0" shapeId="0">
      <text>
        <t>Tool: -1,389,072,000 dollars.</t>
      </text>
    </comment>
    <comment ref="G45" authorId="0" shapeId="0">
      <text>
        <t>Tool: -199,940,000 dollars.</t>
      </text>
    </comment>
    <comment ref="C46" authorId="0" shapeId="0">
      <text>
        <t>Tool: -310,796,000 dollars.</t>
      </text>
    </comment>
    <comment ref="G46" authorId="0" shapeId="0">
      <text>
        <t>Tool: -122,783,000 dollars.</t>
      </text>
    </comment>
    <comment ref="C47" authorId="0" shapeId="0">
      <text>
        <t>Tool: 121,122,000 dollars.</t>
      </text>
    </comment>
    <comment ref="G47" authorId="0" shapeId="0">
      <text>
        <t>Tool: -651,082,000 dollars.</t>
      </text>
    </comment>
    <comment ref="C48" authorId="0" shapeId="0">
      <text>
        <t>Tool: 274,746,000 dollars.</t>
      </text>
    </comment>
    <comment ref="G48" authorId="0" shapeId="0">
      <text>
        <t>Tool: 277,354,000 dollars.</t>
      </text>
    </comment>
    <comment ref="C49" authorId="0" shapeId="0">
      <text>
        <t>Tool: 395,868,000 dollars.</t>
      </text>
    </comment>
    <comment ref="G49" authorId="0" shapeId="0">
      <text>
        <t>Tool: -373,728,000 dollars.</t>
      </text>
    </comment>
    <comment ref="C50" authorId="0" shapeId="0">
      <text>
        <t>Tool: 17,285,268,000 dollars.</t>
      </text>
    </comment>
    <comment ref="G50" authorId="0" shapeId="0">
      <text>
        <t>Tool: 17,480,103,000 dollars.</t>
      </text>
    </comment>
  </commentList>
</comments>
</file>

<file path=xl/comments/comment3.xml><?xml version="1.0" encoding="utf-8"?>
<comments xmlns="http://schemas.openxmlformats.org/spreadsheetml/2006/main">
  <authors>
    <author>creditmemo</author>
  </authors>
  <commentList>
    <comment ref="C7" authorId="0" shapeId="0">
      <text>
        <t>Tool: 1,250,737,000 dollars.</t>
      </text>
    </comment>
    <comment ref="G7" authorId="0" shapeId="0">
      <text>
        <t>Tool: 1,078,716,000 dollars.</t>
      </text>
    </comment>
    <comment ref="C9" authorId="0" shapeId="0">
      <text>
        <t>Tool: 723,860,000 dollars.</t>
      </text>
    </comment>
    <comment ref="G9" authorId="0" shapeId="0">
      <text>
        <t>Tool: 715,348,000 dollars.</t>
      </text>
    </comment>
    <comment ref="C10" authorId="0" shapeId="0">
      <text>
        <t>Tool: 0 dollars.</t>
      </text>
    </comment>
    <comment ref="G10" authorId="0" shapeId="0">
      <text>
        <t>Tool: 0 dollars.</t>
      </text>
    </comment>
    <comment ref="C11" authorId="0" shapeId="0">
      <text>
        <t>Tool: 12,527,000 dollars.</t>
      </text>
    </comment>
    <comment ref="G11" authorId="0" shapeId="0">
      <text>
        <t>Tool: 12,386,000 dollars.</t>
      </text>
    </comment>
    <comment ref="C12" authorId="0" shapeId="0">
      <text>
        <t>Tool: 102,788,000 dollars.</t>
      </text>
    </comment>
    <comment ref="G12" authorId="0" shapeId="0">
      <text>
        <t>Tool: 139,953,000 dollars.</t>
      </text>
    </comment>
    <comment ref="C13" authorId="0" shapeId="0">
      <text>
        <t>Tool: -57,840,000 dollars.</t>
      </text>
    </comment>
    <comment ref="G13" authorId="0" shapeId="0">
      <text>
        <t>Tool: 86,574,000 dollars.</t>
      </text>
    </comment>
    <comment ref="C14" authorId="0" shapeId="0">
      <text>
        <t>Tool: 115,839,000 dollars.</t>
      </text>
    </comment>
    <comment ref="G14" authorId="0" shapeId="0">
      <text>
        <t>Tool: 134,313,000 dollars.</t>
      </text>
    </comment>
    <comment ref="C15" authorId="0" shapeId="0">
      <text>
        <t>Tool: -109,466,000 dollars.</t>
      </text>
    </comment>
    <comment ref="G15" authorId="0" shapeId="0">
      <text>
        <t>Tool: 0 dollars.</t>
      </text>
    </comment>
    <comment ref="C16" authorId="0" shapeId="0">
      <text>
        <t>Tool: 13,414,000 dollars.</t>
      </text>
    </comment>
    <comment ref="G16" authorId="0" shapeId="0">
      <text>
        <t>Tool: -17,549,000 dollars.</t>
      </text>
    </comment>
    <comment ref="C18" authorId="0" shapeId="0">
      <text>
        <t>Tool: -29,766,000 dollars.</t>
      </text>
    </comment>
    <comment ref="G18" authorId="0" shapeId="0">
      <text>
        <t>Tool: -210,632,000 dollars.</t>
      </text>
    </comment>
    <comment ref="C19" authorId="0" shapeId="0">
      <text>
        <t>Tool: 17,942,000 dollars.</t>
      </text>
    </comment>
    <comment ref="G19" authorId="0" shapeId="0">
      <text>
        <t>Tool: -19,950,000 dollars.</t>
      </text>
    </comment>
    <comment ref="C20" authorId="0" shapeId="0">
      <text>
        <t>Tool: 36,801,000 dollars.</t>
      </text>
    </comment>
    <comment ref="G20" authorId="0" shapeId="0">
      <text>
        <t>Tool: -124,297,000 dollars.</t>
      </text>
    </comment>
    <comment ref="C21" authorId="0" shapeId="0">
      <text>
        <t>Tool: -67,031,000 dollars.</t>
      </text>
    </comment>
    <comment ref="G21" authorId="0" shapeId="0">
      <text>
        <t>Tool: -40,253,000 dollars.</t>
      </text>
    </comment>
    <comment ref="C22" authorId="0" shapeId="0">
      <text>
        <t>Tool: 1,699,000 dollars.</t>
      </text>
    </comment>
    <comment ref="G22" authorId="0" shapeId="0">
      <text>
        <t>Tool: 128,303,000 dollars.</t>
      </text>
    </comment>
    <comment ref="C23" authorId="0" shapeId="0">
      <text>
        <t>Tool: 14,687,000 dollars.</t>
      </text>
    </comment>
    <comment ref="G23" authorId="0" shapeId="0">
      <text>
        <t>Tool: -24,042,000 dollars.</t>
      </text>
    </comment>
    <comment ref="C24" authorId="0" shapeId="0">
      <text>
        <t>Tool: 46,733,000 dollars.</t>
      </text>
    </comment>
    <comment ref="G24" authorId="0" shapeId="0">
      <text>
        <t>Tool: -29,963,000 dollars.</t>
      </text>
    </comment>
    <comment ref="C25" authorId="0" shapeId="0">
      <text>
        <t>Tool: -44,214,000 dollars.</t>
      </text>
    </comment>
    <comment ref="G25" authorId="0" shapeId="0">
      <text>
        <t>Tool: 50,245,000 dollars.</t>
      </text>
    </comment>
    <comment ref="C26" authorId="0" shapeId="0">
      <text>
        <t>Tool: -6,672,000 dollars.</t>
      </text>
    </comment>
    <comment ref="G26" authorId="0" shapeId="0">
      <text>
        <t>Tool: 7,348,000 dollars.</t>
      </text>
    </comment>
    <comment ref="C27" authorId="0" shapeId="0">
      <text>
        <t>Tool: 2,022,038,000 dollars.</t>
      </text>
    </comment>
    <comment ref="G27" authorId="0" shapeId="0">
      <text>
        <t>Tool: 1,886,500,000 dollars.</t>
      </text>
    </comment>
    <comment ref="C29" authorId="0" shapeId="0">
      <text>
        <t>Tool: -555,443,000 dollars.</t>
      </text>
    </comment>
    <comment ref="G29" authorId="0" shapeId="0">
      <text>
        <t>Tool: -575,864,000 dollars.</t>
      </text>
    </comment>
    <comment ref="C30" authorId="0" shapeId="0">
      <text>
        <t>Tool: -246,068,000 dollars.</t>
      </text>
    </comment>
    <comment ref="G30" authorId="0" shapeId="0">
      <text>
        <t>Tool: -117,468,000 dollars.</t>
      </text>
    </comment>
    <comment ref="C31" authorId="0" shapeId="0">
      <text>
        <t>Tool: 25,862,000 dollars.</t>
      </text>
    </comment>
    <comment ref="G31" authorId="0" shapeId="0">
      <text>
        <t>Tool: 34,173,000 dollars.</t>
      </text>
    </comment>
    <comment ref="C32" authorId="0" shapeId="0">
      <text>
        <t>Tool: -15,319,000 dollars.</t>
      </text>
    </comment>
    <comment ref="G32" authorId="0" shapeId="0">
      <text>
        <t>Tool: -16,405,000 dollars.</t>
      </text>
    </comment>
    <comment ref="C33" authorId="0" shapeId="0">
      <text>
        <t>Tool: -9,140,000 dollars.</t>
      </text>
    </comment>
    <comment ref="G33" authorId="0" shapeId="0">
      <text>
        <t>Tool: -6,031,000 dollars.</t>
      </text>
    </comment>
    <comment ref="C34" authorId="0" shapeId="0">
      <text>
        <t>Tool: 22,638,000 dollars.</t>
      </text>
    </comment>
    <comment ref="G34" authorId="0" shapeId="0">
      <text>
        <t>Tool: 45,413,000 dollars.</t>
      </text>
    </comment>
    <comment ref="C35" authorId="0" shapeId="0">
      <text>
        <t>Tool: 4,566,000 dollars.</t>
      </text>
    </comment>
    <comment ref="G35" authorId="0" shapeId="0">
      <text>
        <t>Tool: 6,723,000 dollars.</t>
      </text>
    </comment>
    <comment ref="C36" authorId="0" shapeId="0">
      <text>
        <t>Tool: -5,205,000 dollars.</t>
      </text>
    </comment>
    <comment ref="G36" authorId="0" shapeId="0">
      <text>
        <t>Tool: -27,030,000 dollars.</t>
      </text>
    </comment>
    <comment ref="C37" authorId="0" shapeId="0">
      <text>
        <t>Tool: 6,680,000 dollars.</t>
      </text>
    </comment>
    <comment ref="G37" authorId="0" shapeId="0">
      <text>
        <t>Tool: 1,540,000 dollars.</t>
      </text>
    </comment>
    <comment ref="C38" authorId="0" shapeId="0">
      <text>
        <t>Tool: -771,429,000 dollars.</t>
      </text>
    </comment>
    <comment ref="G38" authorId="0" shapeId="0">
      <text>
        <t>Tool: -654,949,000 dollars.</t>
      </text>
    </comment>
    <comment ref="C40" authorId="0" shapeId="0">
      <text>
        <t>Tool: 6,624,310,000 dollars.</t>
      </text>
    </comment>
    <comment ref="G40" authorId="0" shapeId="0">
      <text>
        <t>Tool: 5,612,280,000 dollars.</t>
      </text>
    </comment>
    <comment ref="C41" authorId="0" shapeId="0">
      <text>
        <t>Tool: -5,515,213,000 dollars.</t>
      </text>
    </comment>
    <comment ref="G41" authorId="0" shapeId="0">
      <text>
        <t>Tool: -4,788,845,000 dollars.</t>
      </text>
    </comment>
    <comment ref="C42" authorId="0" shapeId="0">
      <text>
        <t>Tool: -50,874,000 dollars.</t>
      </text>
    </comment>
    <comment ref="G42" authorId="0" shapeId="0">
      <text>
        <t>Tool: -53,819,000 dollars.</t>
      </text>
    </comment>
    <comment ref="C43" authorId="0" shapeId="0">
      <text>
        <t>Tool: 0 dollars.</t>
      </text>
    </comment>
    <comment ref="G43" authorId="0" shapeId="0">
      <text>
        <t>Tool: -484,633,000 dollars.</t>
      </text>
    </comment>
    <comment ref="C44" authorId="0" shapeId="0">
      <text>
        <t>Tool: -1,385,932,000 dollars.</t>
      </text>
    </comment>
    <comment ref="G44" authorId="0" shapeId="0">
      <text>
        <t>Tool: -1,308,366,000 dollars.</t>
      </text>
    </comment>
    <comment ref="C45" authorId="0" shapeId="0">
      <text>
        <t>Tool: -337,042,000 dollars.</t>
      </text>
    </comment>
    <comment ref="G45" authorId="0" shapeId="0">
      <text>
        <t>Tool: -324,270,000 dollars.</t>
      </text>
    </comment>
    <comment ref="C46" authorId="0" shapeId="0">
      <text>
        <t>Tool: 20,453,000 dollars.</t>
      </text>
    </comment>
    <comment ref="G46" authorId="0" shapeId="0">
      <text>
        <t>Tool: 23,290,000 dollars.</t>
      </text>
    </comment>
    <comment ref="C47" authorId="0" shapeId="0">
      <text>
        <t>Tool: -134,040,000 dollars.</t>
      </text>
    </comment>
    <comment ref="G47" authorId="0" shapeId="0">
      <text>
        <t>Tool: -35,291,000 dollars.</t>
      </text>
    </comment>
    <comment ref="C48" authorId="0" shapeId="0">
      <text>
        <t>Tool: 14,499,000 dollars.</t>
      </text>
    </comment>
    <comment ref="G48" authorId="0" shapeId="0">
      <text>
        <t>Tool: 7,078,000 dollars.</t>
      </text>
    </comment>
    <comment ref="C49" authorId="0" shapeId="0">
      <text>
        <t>Tool: 860,000 dollars.</t>
      </text>
    </comment>
    <comment ref="G49" authorId="0" shapeId="0">
      <text>
        <t>Tool: 3,794,000 dollars.</t>
      </text>
    </comment>
    <comment ref="C50" authorId="0" shapeId="0">
      <text>
        <t>Tool: -53,958,000 dollars.</t>
      </text>
    </comment>
    <comment ref="G50" authorId="0" shapeId="0">
      <text>
        <t>Tool: -25,998,000 dollars.</t>
      </text>
    </comment>
    <comment ref="C51" authorId="0" shapeId="0">
      <text>
        <t>Tool: -816,937,000 dollars.</t>
      </text>
    </comment>
    <comment ref="G51" authorId="0" shapeId="0">
      <text>
        <t>Tool: -1,374,780,000 dollars.</t>
      </text>
    </comment>
    <comment ref="C52" authorId="0" shapeId="0">
      <text>
        <t>Tool: -18,481,000 dollars.</t>
      </text>
    </comment>
    <comment ref="G52" authorId="0" shapeId="0">
      <text>
        <t>Tool: 21,151,000 dollars.</t>
      </text>
    </comment>
    <comment ref="C53" authorId="0" shapeId="0">
      <text>
        <t>Tool: 415,191,000 dollars.</t>
      </text>
    </comment>
    <comment ref="G53" authorId="0" shapeId="0">
      <text>
        <t>Tool: -122,078,000 dollars.</t>
      </text>
    </comment>
    <comment ref="C54" authorId="0" shapeId="0">
      <text>
        <t>Tool: 464,634,000 dollars.</t>
      </text>
    </comment>
    <comment ref="G54" authorId="0" shapeId="0">
      <text>
        <t>Tool: 879,825,000 dollars.</t>
      </text>
    </comment>
    <comment ref="C55" authorId="0" shapeId="0">
      <text>
        <t>Tool: 879,825,000 dollars.</t>
      </text>
    </comment>
    <comment ref="G55" authorId="0" shapeId="0">
      <text>
        <t>Tool: 757,747,000 dollars.</t>
      </text>
    </comment>
  </commentList>
</comments>
</file>

<file path=xl/comments/comment4.xml><?xml version="1.0" encoding="utf-8"?>
<comments xmlns="http://schemas.openxmlformats.org/spreadsheetml/2006/main">
  <authors>
    <author>creditmemo</author>
  </authors>
  <commentList>
    <comment ref="C6" authorId="0" shapeId="0">
      <text>
        <t>Tool: 689,130,000 dollars.</t>
      </text>
    </comment>
    <comment ref="G6" authorId="0" shapeId="0">
      <text>
        <t>Tool: 702,180,000 dollars.</t>
      </text>
    </comment>
    <comment ref="C7" authorId="0" shapeId="0">
      <text>
        <t>Tool: 2,620,066,000 dollars.</t>
      </text>
    </comment>
    <comment ref="G7" authorId="0" shapeId="0">
      <text>
        <t>Tool: 2,601,142,000 dollars.</t>
      </text>
    </comment>
    <comment ref="C8" authorId="0" shapeId="0">
      <text>
        <t>Tool: 270,867,000 dollars.</t>
      </text>
    </comment>
    <comment ref="G8" authorId="0" shapeId="0">
      <text>
        <t>Tool: 109,201,000 dollars.</t>
      </text>
    </comment>
    <comment ref="C9" authorId="0" shapeId="0">
      <text>
        <t>Tool: 387,940,000 dollars.</t>
      </text>
    </comment>
    <comment ref="G9" authorId="0" shapeId="0">
      <text>
        <t>Tool: 176,688,000 dollars.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927066/000092706626000012/R3.htm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927066/000092706626000012/R5.htm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927066/000092706626000012/R7.htm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DaVita Inc. (DVA): hand check against the 10-K</t>
        </is>
      </c>
    </row>
    <row r="3">
      <c r="A3" s="2" t="inlineStr">
        <is>
          <t>Unit you type in ($ per unit)</t>
        </is>
      </c>
      <c r="B3" s="3" t="n">
        <v>1000</v>
      </c>
      <c r="C3" s="4" t="inlineStr">
        <is>
          <t>From the statement header: '$ in thousands'</t>
        </is>
      </c>
    </row>
    <row r="4">
      <c r="A4" s="2" t="inlineStr">
        <is>
          <t>Match target</t>
        </is>
      </c>
      <c r="B4" s="5" t="n">
        <v>0.01</v>
      </c>
    </row>
    <row r="5">
      <c r="A5" s="2" t="inlineStr">
        <is>
          <t>Years</t>
        </is>
      </c>
      <c r="B5" s="6" t="inlineStr">
        <is>
          <t>FY2024, FY2025</t>
        </is>
      </c>
    </row>
    <row r="6">
      <c r="A6" s="2" t="inlineStr">
        <is>
          <t>10-K</t>
        </is>
      </c>
      <c r="B6" s="6" t="inlineStr">
        <is>
          <t>Filed 2026-02-11 (accession 0000927066-26-000012)</t>
        </is>
      </c>
    </row>
    <row r="8" ht="58" customHeight="1">
      <c r="A8" s="2" t="inlineStr">
        <is>
          <t>How to use</t>
        </is>
      </c>
      <c r="B8" s="7" t="inlineStr">
        <is>
          <t>Each statement tab lists the statement exactly as the 10-K prints it. Open the 10-K at that statement and type every figure into the yellow cells as printed: a number in parentheses is negative, so (579,926) is typed as -579926. Leave a cell blank until you've checked it. Red = more than the target away from the tool's figure.</t>
        </is>
      </c>
    </row>
    <row r="9" ht="32" customHeight="1">
      <c r="A9" s="2" t="inlineStr">
        <is>
          <t>Example</t>
        </is>
      </c>
      <c r="B9" s="7" t="inlineStr">
        <is>
          <t>Income statement tab, 'Dialysis patient service revenues', FY2025: the 10-K prints 13,007,186, so type 13007186. Under 'Page / note' write e.g. 'Consolidated Statements of Income, p. 72'.</t>
        </is>
      </c>
    </row>
    <row r="11">
      <c r="A11" s="8" t="inlineStr">
        <is>
          <t>Tab</t>
        </is>
      </c>
      <c r="B11" s="8" t="inlineStr">
        <is>
          <t>Lines checked</t>
        </is>
      </c>
      <c r="C11" s="8" t="inlineStr">
        <is>
          <t>Within target</t>
        </is>
      </c>
      <c r="D11" s="8" t="inlineStr">
        <is>
          <t>Match rate</t>
        </is>
      </c>
    </row>
    <row r="12">
      <c r="A12" s="4" t="inlineStr">
        <is>
          <t>Income statement</t>
        </is>
      </c>
      <c r="B12" s="9">
        <f>COUNT('Income statement'!D6:D34)+COUNT('Income statement'!H6:H34)</f>
        <v/>
      </c>
      <c r="C12" s="9">
        <f>SUM('Income statement'!F6:F34)+SUM('Income statement'!J6:J34)</f>
        <v/>
      </c>
      <c r="D12" s="10">
        <f>IF(B12=0,"",C12/B12)</f>
        <v/>
      </c>
    </row>
    <row r="13">
      <c r="A13" s="4" t="inlineStr">
        <is>
          <t>Balance sheet</t>
        </is>
      </c>
      <c r="B13" s="9">
        <f>COUNT('Balance sheet'!D6:D50)+COUNT('Balance sheet'!H6:H50)</f>
        <v/>
      </c>
      <c r="C13" s="9">
        <f>SUM('Balance sheet'!F6:F50)+SUM('Balance sheet'!J6:J50)</f>
        <v/>
      </c>
      <c r="D13" s="10">
        <f>IF(B13=0,"",C13/B13)</f>
        <v/>
      </c>
    </row>
    <row r="14">
      <c r="A14" s="4" t="inlineStr">
        <is>
          <t>Cash flow</t>
        </is>
      </c>
      <c r="B14" s="9">
        <f>COUNT('Cash flow'!D6:D55)+COUNT('Cash flow'!H6:H55)</f>
        <v/>
      </c>
      <c r="C14" s="9">
        <f>SUM('Cash flow'!F6:F55)+SUM('Cash flow'!J6:J55)</f>
        <v/>
      </c>
      <c r="D14" s="10">
        <f>IF(B14=0,"",C14/B14)</f>
        <v/>
      </c>
    </row>
    <row r="15">
      <c r="A15" s="4" t="inlineStr">
        <is>
          <t>Notes</t>
        </is>
      </c>
      <c r="B15" s="9">
        <f>COUNT('Notes'!D6:D9)+COUNT('Notes'!H6:H9)</f>
        <v/>
      </c>
      <c r="C15" s="9">
        <f>SUM('Notes'!F6:F9)+SUM('Notes'!J6:J9)</f>
        <v/>
      </c>
      <c r="D15" s="10">
        <f>IF(B15=0,"",C15/B15)</f>
        <v/>
      </c>
    </row>
    <row r="16">
      <c r="A16" s="11" t="inlineStr">
        <is>
          <t>All tabs</t>
        </is>
      </c>
      <c r="B16" s="11">
        <f>SUM(B12:B15)</f>
        <v/>
      </c>
      <c r="C16" s="11">
        <f>SUM(C12:C15)</f>
        <v/>
      </c>
      <c r="D16" s="12">
        <f>IF(B16=0,"",C16/B16)</f>
        <v/>
      </c>
    </row>
  </sheetData>
  <mergeCells count="3">
    <mergeCell ref="B9:F9"/>
    <mergeCell ref="C3:F3"/>
    <mergeCell ref="B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13" customWidth="1" min="3" max="3"/>
    <col width="13" customWidth="1" min="4" max="4"/>
    <col width="9" customWidth="1" min="5" max="5"/>
    <col width="5" customWidth="1" min="6" max="6"/>
    <col width="13" customWidth="1" min="7" max="7"/>
    <col width="13" customWidth="1" min="8" max="8"/>
    <col width="9" customWidth="1" min="9" max="9"/>
    <col width="5" customWidth="1" min="10" max="10"/>
    <col width="24" customWidth="1" min="11" max="11"/>
    <col width="22" customWidth="1" min="12" max="12"/>
    <col hidden="1" width="13" customWidth="1" min="13" max="13"/>
  </cols>
  <sheetData>
    <row r="1">
      <c r="A1" s="1" t="inlineStr">
        <is>
          <t>CONSOLIDATED STATEMENTS OF INCOME (DaVita Inc.)</t>
        </is>
      </c>
    </row>
    <row r="2">
      <c r="A2" s="13" t="inlineStr">
        <is>
          <t>As printed in the 10-K filed 2026-02-11: CONSOLIDATED STATEMENTS OF INCOME - USD ($) $ in Thousands. Yellow = type the 10-K figure. Blue = the tool's figure. Red = outside the target.</t>
        </is>
      </c>
    </row>
    <row r="3">
      <c r="A3" s="14" t="inlineStr">
        <is>
          <t>Open this statement on SEC.gov</t>
        </is>
      </c>
    </row>
    <row r="4">
      <c r="C4" s="15" t="inlineStr">
        <is>
          <t>FY2024</t>
        </is>
      </c>
      <c r="G4" s="15" t="inlineStr">
        <is>
          <t>FY2025</t>
        </is>
      </c>
    </row>
    <row r="5">
      <c r="A5" s="16" t="inlineStr">
        <is>
          <t>Line</t>
        </is>
      </c>
      <c r="B5" s="16" t="inlineStr">
        <is>
          <t>XBRL tag</t>
        </is>
      </c>
      <c r="C5" s="16" t="inlineStr">
        <is>
          <t>Tool</t>
        </is>
      </c>
      <c r="D5" s="16" t="inlineStr">
        <is>
          <t>10-K</t>
        </is>
      </c>
      <c r="E5" s="16" t="inlineStr">
        <is>
          <t>Diff</t>
        </is>
      </c>
      <c r="F5" s="16" t="inlineStr">
        <is>
          <t>OK</t>
        </is>
      </c>
      <c r="G5" s="16" t="inlineStr">
        <is>
          <t>Tool</t>
        </is>
      </c>
      <c r="H5" s="16" t="inlineStr">
        <is>
          <t>10-K</t>
        </is>
      </c>
      <c r="I5" s="16" t="inlineStr">
        <is>
          <t>Diff</t>
        </is>
      </c>
      <c r="J5" s="16" t="inlineStr">
        <is>
          <t>OK</t>
        </is>
      </c>
      <c r="K5" s="16" t="inlineStr">
        <is>
          <t>Page / note</t>
        </is>
      </c>
      <c r="L5" s="16" t="inlineStr">
        <is>
          <t>Note</t>
        </is>
      </c>
      <c r="M5" s="16" t="inlineStr">
        <is>
          <t>row id</t>
        </is>
      </c>
    </row>
    <row r="6">
      <c r="A6" s="17" t="inlineStr">
        <is>
          <t>Income Statement [Abstract]</t>
        </is>
      </c>
    </row>
    <row r="7">
      <c r="A7" s="18" t="inlineStr">
        <is>
          <t>Dialysis patient service revenues</t>
        </is>
      </c>
      <c r="B7" s="19" t="inlineStr">
        <is>
          <t>dva_RevenueFromContractWithCustomerIncludingAssessedTaxNetOfProvisionForUncollectibleAccounts</t>
        </is>
      </c>
      <c r="C7" s="20">
        <f>12260375000.0/Summary!$B$3</f>
        <v/>
      </c>
      <c r="D7" s="21" t="n"/>
      <c r="E7" s="22">
        <f>IF(OR(D7="",C7=""),"",IF(D7=0,IF(C7=0,0,1),(C7-D7)/ABS(D7)))</f>
        <v/>
      </c>
      <c r="F7" s="23">
        <f>IF(E7="","",IF(ABS(E7)&lt;=Summary!$B$4,1,0))</f>
        <v/>
      </c>
      <c r="G7" s="20">
        <f>13007186000.0/Summary!$B$3</f>
        <v/>
      </c>
      <c r="H7" s="21" t="n"/>
      <c r="I7" s="22">
        <f>IF(OR(H7="",G7=""),"",IF(H7=0,IF(G7=0,0,1),(G7-H7)/ABS(H7)))</f>
        <v/>
      </c>
      <c r="J7" s="23">
        <f>IF(I7="","",IF(ABS(I7)&lt;=Summary!$B$4,1,0))</f>
        <v/>
      </c>
      <c r="K7" s="24" t="n"/>
      <c r="L7" s="25" t="n"/>
      <c r="M7" s="13" t="inlineStr">
        <is>
          <t>income:1</t>
        </is>
      </c>
    </row>
    <row r="8">
      <c r="A8" s="18" t="inlineStr">
        <is>
          <t>Other revenues</t>
        </is>
      </c>
      <c r="B8" s="19" t="inlineStr">
        <is>
          <t>us-gaap_OtherIncome</t>
        </is>
      </c>
      <c r="C8" s="20">
        <f>555175000.0/Summary!$B$3</f>
        <v/>
      </c>
      <c r="D8" s="21" t="n"/>
      <c r="E8" s="22">
        <f>IF(OR(D8="",C8=""),"",IF(D8=0,IF(C8=0,0,1),(C8-D8)/ABS(D8)))</f>
        <v/>
      </c>
      <c r="F8" s="23">
        <f>IF(E8="","",IF(ABS(E8)&lt;=Summary!$B$4,1,0))</f>
        <v/>
      </c>
      <c r="G8" s="20">
        <f>635883000.0/Summary!$B$3</f>
        <v/>
      </c>
      <c r="H8" s="21" t="n"/>
      <c r="I8" s="22">
        <f>IF(OR(H8="",G8=""),"",IF(H8=0,IF(G8=0,0,1),(G8-H8)/ABS(H8)))</f>
        <v/>
      </c>
      <c r="J8" s="23">
        <f>IF(I8="","",IF(ABS(I8)&lt;=Summary!$B$4,1,0))</f>
        <v/>
      </c>
      <c r="K8" s="24" t="n"/>
      <c r="L8" s="25" t="n"/>
      <c r="M8" s="13" t="inlineStr">
        <is>
          <t>income:2</t>
        </is>
      </c>
    </row>
    <row r="9">
      <c r="A9" s="26" t="inlineStr">
        <is>
          <t>Total revenues</t>
        </is>
      </c>
      <c r="B9" s="19" t="inlineStr">
        <is>
          <t>us-gaap_Revenues</t>
        </is>
      </c>
      <c r="C9" s="20">
        <f>12815550000.0/Summary!$B$3</f>
        <v/>
      </c>
      <c r="D9" s="21" t="n"/>
      <c r="E9" s="22">
        <f>IF(OR(D9="",C9=""),"",IF(D9=0,IF(C9=0,0,1),(C9-D9)/ABS(D9)))</f>
        <v/>
      </c>
      <c r="F9" s="23">
        <f>IF(E9="","",IF(ABS(E9)&lt;=Summary!$B$4,1,0))</f>
        <v/>
      </c>
      <c r="G9" s="20">
        <f>13643069000.0/Summary!$B$3</f>
        <v/>
      </c>
      <c r="H9" s="21" t="n"/>
      <c r="I9" s="22">
        <f>IF(OR(H9="",G9=""),"",IF(H9=0,IF(G9=0,0,1),(G9-H9)/ABS(H9)))</f>
        <v/>
      </c>
      <c r="J9" s="23">
        <f>IF(I9="","",IF(ABS(I9)&lt;=Summary!$B$4,1,0))</f>
        <v/>
      </c>
      <c r="K9" s="24" t="n"/>
      <c r="L9" s="25" t="n"/>
      <c r="M9" s="13" t="inlineStr">
        <is>
          <t>income:3</t>
        </is>
      </c>
    </row>
    <row r="10">
      <c r="A10" s="17" t="inlineStr">
        <is>
          <t>Operating expenses:</t>
        </is>
      </c>
    </row>
    <row r="11">
      <c r="A11" s="18" t="inlineStr">
        <is>
          <t>Patient care costs</t>
        </is>
      </c>
      <c r="B11" s="19" t="inlineStr">
        <is>
          <t>dva_PatientCareCosts</t>
        </is>
      </c>
      <c r="C11" s="20">
        <f>8598521000.0/Summary!$B$3</f>
        <v/>
      </c>
      <c r="D11" s="21" t="n"/>
      <c r="E11" s="22">
        <f>IF(OR(D11="",C11=""),"",IF(D11=0,IF(C11=0,0,1),(C11-D11)/ABS(D11)))</f>
        <v/>
      </c>
      <c r="F11" s="23">
        <f>IF(E11="","",IF(ABS(E11)&lt;=Summary!$B$4,1,0))</f>
        <v/>
      </c>
      <c r="G11" s="20">
        <f>9243476000.0/Summary!$B$3</f>
        <v/>
      </c>
      <c r="H11" s="21" t="n"/>
      <c r="I11" s="22">
        <f>IF(OR(H11="",G11=""),"",IF(H11=0,IF(G11=0,0,1),(G11-H11)/ABS(H11)))</f>
        <v/>
      </c>
      <c r="J11" s="23">
        <f>IF(I11="","",IF(ABS(I11)&lt;=Summary!$B$4,1,0))</f>
        <v/>
      </c>
      <c r="K11" s="24" t="n"/>
      <c r="L11" s="25" t="n"/>
      <c r="M11" s="13" t="inlineStr">
        <is>
          <t>income:5</t>
        </is>
      </c>
    </row>
    <row r="12">
      <c r="A12" s="18" t="inlineStr">
        <is>
          <t>General and administrative</t>
        </is>
      </c>
      <c r="B12" s="19" t="inlineStr">
        <is>
          <t>us-gaap_GeneralAndAdministrativeExpense</t>
        </is>
      </c>
      <c r="C12" s="20">
        <f>1538341000.0/Summary!$B$3</f>
        <v/>
      </c>
      <c r="D12" s="21" t="n"/>
      <c r="E12" s="22">
        <f>IF(OR(D12="",C12=""),"",IF(D12=0,IF(C12=0,0,1),(C12-D12)/ABS(D12)))</f>
        <v/>
      </c>
      <c r="F12" s="23">
        <f>IF(E12="","",IF(ABS(E12)&lt;=Summary!$B$4,1,0))</f>
        <v/>
      </c>
      <c r="G12" s="20">
        <f>1673630000.0/Summary!$B$3</f>
        <v/>
      </c>
      <c r="H12" s="21" t="n"/>
      <c r="I12" s="22">
        <f>IF(OR(H12="",G12=""),"",IF(H12=0,IF(G12=0,0,1),(G12-H12)/ABS(H12)))</f>
        <v/>
      </c>
      <c r="J12" s="23">
        <f>IF(I12="","",IF(ABS(I12)&lt;=Summary!$B$4,1,0))</f>
        <v/>
      </c>
      <c r="K12" s="24" t="n"/>
      <c r="L12" s="25" t="n"/>
      <c r="M12" s="13" t="inlineStr">
        <is>
          <t>income:6</t>
        </is>
      </c>
    </row>
    <row r="13">
      <c r="A13" s="18" t="inlineStr">
        <is>
          <t>Depreciation and amortization</t>
        </is>
      </c>
      <c r="B13" s="19" t="inlineStr">
        <is>
          <t>us-gaap_DepreciationAndAmortization</t>
        </is>
      </c>
      <c r="C13" s="20">
        <f>723860000.0/Summary!$B$3</f>
        <v/>
      </c>
      <c r="D13" s="21" t="n"/>
      <c r="E13" s="22">
        <f>IF(OR(D13="",C13=""),"",IF(D13=0,IF(C13=0,0,1),(C13-D13)/ABS(D13)))</f>
        <v/>
      </c>
      <c r="F13" s="23">
        <f>IF(E13="","",IF(ABS(E13)&lt;=Summary!$B$4,1,0))</f>
        <v/>
      </c>
      <c r="G13" s="20">
        <f>715348000.0/Summary!$B$3</f>
        <v/>
      </c>
      <c r="H13" s="21" t="n"/>
      <c r="I13" s="22">
        <f>IF(OR(H13="",G13=""),"",IF(H13=0,IF(G13=0,0,1),(G13-H13)/ABS(H13)))</f>
        <v/>
      </c>
      <c r="J13" s="23">
        <f>IF(I13="","",IF(ABS(I13)&lt;=Summary!$B$4,1,0))</f>
        <v/>
      </c>
      <c r="K13" s="24" t="n"/>
      <c r="L13" s="25" t="n"/>
      <c r="M13" s="13" t="inlineStr">
        <is>
          <t>income:7</t>
        </is>
      </c>
    </row>
    <row r="14">
      <c r="A14" s="18" t="inlineStr">
        <is>
          <t>Equity investment income, net</t>
        </is>
      </c>
      <c r="B14" s="19" t="inlineStr">
        <is>
          <t>us-gaap_IncomeLossFromEquityMethodInvestments</t>
        </is>
      </c>
      <c r="C14" s="20">
        <f>-26189000.0/Summary!$B$3</f>
        <v/>
      </c>
      <c r="D14" s="21" t="n"/>
      <c r="E14" s="22">
        <f>IF(OR(D14="",C14=""),"",IF(D14=0,IF(C14=0,0,1),(C14-D14)/ABS(D14)))</f>
        <v/>
      </c>
      <c r="F14" s="23">
        <f>IF(E14="","",IF(ABS(E14)&lt;=Summary!$B$4,1,0))</f>
        <v/>
      </c>
      <c r="G14" s="20">
        <f>-33000000.0/Summary!$B$3</f>
        <v/>
      </c>
      <c r="H14" s="21" t="n"/>
      <c r="I14" s="22">
        <f>IF(OR(H14="",G14=""),"",IF(H14=0,IF(G14=0,0,1),(G14-H14)/ABS(H14)))</f>
        <v/>
      </c>
      <c r="J14" s="23">
        <f>IF(I14="","",IF(ABS(I14)&lt;=Summary!$B$4,1,0))</f>
        <v/>
      </c>
      <c r="K14" s="24" t="n"/>
      <c r="L14" s="25" t="n"/>
      <c r="M14" s="13" t="inlineStr">
        <is>
          <t>income:8</t>
        </is>
      </c>
    </row>
    <row r="15">
      <c r="A15" s="18" t="inlineStr">
        <is>
          <t>Goodwill impairment charges</t>
        </is>
      </c>
      <c r="B15" s="19" t="inlineStr">
        <is>
          <t>us-gaap_GoodwillImpairmentLoss</t>
        </is>
      </c>
      <c r="C15" s="20">
        <f>0.0/Summary!$B$3</f>
        <v/>
      </c>
      <c r="D15" s="21" t="n"/>
      <c r="E15" s="22">
        <f>IF(OR(D15="",C15=""),"",IF(D15=0,IF(C15=0,0,1),(C15-D15)/ABS(D15)))</f>
        <v/>
      </c>
      <c r="F15" s="23">
        <f>IF(E15="","",IF(ABS(E15)&lt;=Summary!$B$4,1,0))</f>
        <v/>
      </c>
      <c r="G15" s="20">
        <f>0.0/Summary!$B$3</f>
        <v/>
      </c>
      <c r="H15" s="21" t="n"/>
      <c r="I15" s="22">
        <f>IF(OR(H15="",G15=""),"",IF(H15=0,IF(G15=0,0,1),(G15-H15)/ABS(H15)))</f>
        <v/>
      </c>
      <c r="J15" s="23">
        <f>IF(I15="","",IF(ABS(I15)&lt;=Summary!$B$4,1,0))</f>
        <v/>
      </c>
      <c r="K15" s="24" t="n"/>
      <c r="L15" s="25" t="n"/>
      <c r="M15" s="13" t="inlineStr">
        <is>
          <t>income:9</t>
        </is>
      </c>
    </row>
    <row r="16">
      <c r="A16" s="18" t="inlineStr">
        <is>
          <t>Gain on changes in ownership interests</t>
        </is>
      </c>
      <c r="B16" s="19" t="inlineStr">
        <is>
          <t>us-gaap_BusinessCombinationStepAcquisitionEquityInterestInAcquireeRemeasurementGain</t>
        </is>
      </c>
      <c r="C16" s="20">
        <f>-109466000.0/Summary!$B$3</f>
        <v/>
      </c>
      <c r="D16" s="21" t="n"/>
      <c r="E16" s="22">
        <f>IF(OR(D16="",C16=""),"",IF(D16=0,IF(C16=0,0,1),(C16-D16)/ABS(D16)))</f>
        <v/>
      </c>
      <c r="F16" s="23">
        <f>IF(E16="","",IF(ABS(E16)&lt;=Summary!$B$4,1,0))</f>
        <v/>
      </c>
      <c r="G16" s="20">
        <f>0.0/Summary!$B$3</f>
        <v/>
      </c>
      <c r="H16" s="21" t="n"/>
      <c r="I16" s="22">
        <f>IF(OR(H16="",G16=""),"",IF(H16=0,IF(G16=0,0,1),(G16-H16)/ABS(H16)))</f>
        <v/>
      </c>
      <c r="J16" s="23">
        <f>IF(I16="","",IF(ABS(I16)&lt;=Summary!$B$4,1,0))</f>
        <v/>
      </c>
      <c r="K16" s="24" t="n"/>
      <c r="L16" s="25" t="n"/>
      <c r="M16" s="13" t="inlineStr">
        <is>
          <t>income:10</t>
        </is>
      </c>
    </row>
    <row r="17">
      <c r="A17" s="26" t="inlineStr">
        <is>
          <t>Total operating expenses</t>
        </is>
      </c>
      <c r="B17" s="19" t="inlineStr">
        <is>
          <t>us-gaap_CostsAndExpenses</t>
        </is>
      </c>
      <c r="C17" s="20">
        <f>10725067000.0/Summary!$B$3</f>
        <v/>
      </c>
      <c r="D17" s="21" t="n"/>
      <c r="E17" s="22">
        <f>IF(OR(D17="",C17=""),"",IF(D17=0,IF(C17=0,0,1),(C17-D17)/ABS(D17)))</f>
        <v/>
      </c>
      <c r="F17" s="23">
        <f>IF(E17="","",IF(ABS(E17)&lt;=Summary!$B$4,1,0))</f>
        <v/>
      </c>
      <c r="G17" s="20">
        <f>11599454000.0/Summary!$B$3</f>
        <v/>
      </c>
      <c r="H17" s="21" t="n"/>
      <c r="I17" s="22">
        <f>IF(OR(H17="",G17=""),"",IF(H17=0,IF(G17=0,0,1),(G17-H17)/ABS(H17)))</f>
        <v/>
      </c>
      <c r="J17" s="23">
        <f>IF(I17="","",IF(ABS(I17)&lt;=Summary!$B$4,1,0))</f>
        <v/>
      </c>
      <c r="K17" s="24" t="n"/>
      <c r="L17" s="25" t="n"/>
      <c r="M17" s="13" t="inlineStr">
        <is>
          <t>income:11</t>
        </is>
      </c>
    </row>
    <row r="18">
      <c r="A18" s="26" t="inlineStr">
        <is>
          <t>Operating income</t>
        </is>
      </c>
      <c r="B18" s="19" t="inlineStr">
        <is>
          <t>us-gaap_OperatingIncomeLoss</t>
        </is>
      </c>
      <c r="C18" s="20">
        <f>2090483000.0/Summary!$B$3</f>
        <v/>
      </c>
      <c r="D18" s="21" t="n"/>
      <c r="E18" s="22">
        <f>IF(OR(D18="",C18=""),"",IF(D18=0,IF(C18=0,0,1),(C18-D18)/ABS(D18)))</f>
        <v/>
      </c>
      <c r="F18" s="23">
        <f>IF(E18="","",IF(ABS(E18)&lt;=Summary!$B$4,1,0))</f>
        <v/>
      </c>
      <c r="G18" s="20">
        <f>2043615000.0/Summary!$B$3</f>
        <v/>
      </c>
      <c r="H18" s="21" t="n"/>
      <c r="I18" s="22">
        <f>IF(OR(H18="",G18=""),"",IF(H18=0,IF(G18=0,0,1),(G18-H18)/ABS(H18)))</f>
        <v/>
      </c>
      <c r="J18" s="23">
        <f>IF(I18="","",IF(ABS(I18)&lt;=Summary!$B$4,1,0))</f>
        <v/>
      </c>
      <c r="K18" s="24" t="n"/>
      <c r="L18" s="25" t="n"/>
      <c r="M18" s="13" t="inlineStr">
        <is>
          <t>income:12</t>
        </is>
      </c>
    </row>
    <row r="19">
      <c r="A19" s="18" t="inlineStr">
        <is>
          <t>Debt expense</t>
        </is>
      </c>
      <c r="B19" s="19" t="inlineStr">
        <is>
          <t>us-gaap_InterestAndDebtExpense</t>
        </is>
      </c>
      <c r="C19" s="20">
        <f>-470469000.0/Summary!$B$3</f>
        <v/>
      </c>
      <c r="D19" s="21" t="n"/>
      <c r="E19" s="22">
        <f>IF(OR(D19="",C19=""),"",IF(D19=0,IF(C19=0,0,1),(C19-D19)/ABS(D19)))</f>
        <v/>
      </c>
      <c r="F19" s="23">
        <f>IF(E19="","",IF(ABS(E19)&lt;=Summary!$B$4,1,0))</f>
        <v/>
      </c>
      <c r="G19" s="20">
        <f>-579926000.0/Summary!$B$3</f>
        <v/>
      </c>
      <c r="H19" s="21" t="n"/>
      <c r="I19" s="22">
        <f>IF(OR(H19="",G19=""),"",IF(H19=0,IF(G19=0,0,1),(G19-H19)/ABS(H19)))</f>
        <v/>
      </c>
      <c r="J19" s="23">
        <f>IF(I19="","",IF(ABS(I19)&lt;=Summary!$B$4,1,0))</f>
        <v/>
      </c>
      <c r="K19" s="24" t="n"/>
      <c r="L19" s="25" t="n"/>
      <c r="M19" s="13" t="inlineStr">
        <is>
          <t>income:13</t>
        </is>
      </c>
    </row>
    <row r="20">
      <c r="A20" s="18" t="inlineStr">
        <is>
          <t>Debt extinguishment and modification costs</t>
        </is>
      </c>
      <c r="B20" s="19" t="inlineStr">
        <is>
          <t>dva_DebtPrepaymentExtinguishmentAndModificationCosts</t>
        </is>
      </c>
      <c r="C20" s="20">
        <f>-19813000.0/Summary!$B$3</f>
        <v/>
      </c>
      <c r="D20" s="21" t="n"/>
      <c r="E20" s="22">
        <f>IF(OR(D20="",C20=""),"",IF(D20=0,IF(C20=0,0,1),(C20-D20)/ABS(D20)))</f>
        <v/>
      </c>
      <c r="F20" s="23">
        <f>IF(E20="","",IF(ABS(E20)&lt;=Summary!$B$4,1,0))</f>
        <v/>
      </c>
      <c r="G20" s="20">
        <f>-14178000.0/Summary!$B$3</f>
        <v/>
      </c>
      <c r="H20" s="21" t="n"/>
      <c r="I20" s="22">
        <f>IF(OR(H20="",G20=""),"",IF(H20=0,IF(G20=0,0,1),(G20-H20)/ABS(H20)))</f>
        <v/>
      </c>
      <c r="J20" s="23">
        <f>IF(I20="","",IF(ABS(I20)&lt;=Summary!$B$4,1,0))</f>
        <v/>
      </c>
      <c r="K20" s="24" t="n"/>
      <c r="L20" s="25" t="n"/>
      <c r="M20" s="13" t="inlineStr">
        <is>
          <t>income:14</t>
        </is>
      </c>
    </row>
    <row r="21">
      <c r="A21" s="18" t="inlineStr">
        <is>
          <t>Other loss, net</t>
        </is>
      </c>
      <c r="B21" s="19" t="inlineStr">
        <is>
          <t>us-gaap_OtherNonoperatingIncomeExpense</t>
        </is>
      </c>
      <c r="C21" s="20">
        <f>-69808000.0/Summary!$B$3</f>
        <v/>
      </c>
      <c r="D21" s="21" t="n"/>
      <c r="E21" s="22">
        <f>IF(OR(D21="",C21=""),"",IF(D21=0,IF(C21=0,0,1),(C21-D21)/ABS(D21)))</f>
        <v/>
      </c>
      <c r="F21" s="23">
        <f>IF(E21="","",IF(ABS(E21)&lt;=Summary!$B$4,1,0))</f>
        <v/>
      </c>
      <c r="G21" s="20">
        <f>-102688000.0/Summary!$B$3</f>
        <v/>
      </c>
      <c r="H21" s="21" t="n"/>
      <c r="I21" s="22">
        <f>IF(OR(H21="",G21=""),"",IF(H21=0,IF(G21=0,0,1),(G21-H21)/ABS(H21)))</f>
        <v/>
      </c>
      <c r="J21" s="23">
        <f>IF(I21="","",IF(ABS(I21)&lt;=Summary!$B$4,1,0))</f>
        <v/>
      </c>
      <c r="K21" s="24" t="n"/>
      <c r="L21" s="25" t="n"/>
      <c r="M21" s="13" t="inlineStr">
        <is>
          <t>income:15</t>
        </is>
      </c>
    </row>
    <row r="22">
      <c r="A22" s="26" t="inlineStr">
        <is>
          <t>Income from continuing operations before income taxes</t>
        </is>
      </c>
      <c r="B22" s="19" t="inlineStr">
        <is>
          <t>us-gaap_IncomeLossFromContinuingOperationsBeforeIncomeTaxesExtraordinaryItemsNoncontrollingInterest</t>
        </is>
      </c>
      <c r="C22" s="20">
        <f>1530393000.0/Summary!$B$3</f>
        <v/>
      </c>
      <c r="D22" s="21" t="n"/>
      <c r="E22" s="22">
        <f>IF(OR(D22="",C22=""),"",IF(D22=0,IF(C22=0,0,1),(C22-D22)/ABS(D22)))</f>
        <v/>
      </c>
      <c r="F22" s="23">
        <f>IF(E22="","",IF(ABS(E22)&lt;=Summary!$B$4,1,0))</f>
        <v/>
      </c>
      <c r="G22" s="20">
        <f>1346823000.0/Summary!$B$3</f>
        <v/>
      </c>
      <c r="H22" s="21" t="n"/>
      <c r="I22" s="22">
        <f>IF(OR(H22="",G22=""),"",IF(H22=0,IF(G22=0,0,1),(G22-H22)/ABS(H22)))</f>
        <v/>
      </c>
      <c r="J22" s="23">
        <f>IF(I22="","",IF(ABS(I22)&lt;=Summary!$B$4,1,0))</f>
        <v/>
      </c>
      <c r="K22" s="24" t="n"/>
      <c r="L22" s="25" t="n"/>
      <c r="M22" s="13" t="inlineStr">
        <is>
          <t>income:16</t>
        </is>
      </c>
    </row>
    <row r="23">
      <c r="A23" s="18" t="inlineStr">
        <is>
          <t>Income tax expense</t>
        </is>
      </c>
      <c r="B23" s="19" t="inlineStr">
        <is>
          <t>us-gaap_IncomeTaxExpenseBenefit</t>
        </is>
      </c>
      <c r="C23" s="20">
        <f>279656000.0/Summary!$B$3</f>
        <v/>
      </c>
      <c r="D23" s="21" t="n"/>
      <c r="E23" s="22">
        <f>IF(OR(D23="",C23=""),"",IF(D23=0,IF(C23=0,0,1),(C23-D23)/ABS(D23)))</f>
        <v/>
      </c>
      <c r="F23" s="23">
        <f>IF(E23="","",IF(ABS(E23)&lt;=Summary!$B$4,1,0))</f>
        <v/>
      </c>
      <c r="G23" s="20">
        <f>293107000.0/Summary!$B$3</f>
        <v/>
      </c>
      <c r="H23" s="21" t="n"/>
      <c r="I23" s="22">
        <f>IF(OR(H23="",G23=""),"",IF(H23=0,IF(G23=0,0,1),(G23-H23)/ABS(H23)))</f>
        <v/>
      </c>
      <c r="J23" s="23">
        <f>IF(I23="","",IF(ABS(I23)&lt;=Summary!$B$4,1,0))</f>
        <v/>
      </c>
      <c r="K23" s="24" t="n"/>
      <c r="L23" s="25" t="n"/>
      <c r="M23" s="13" t="inlineStr">
        <is>
          <t>income:17</t>
        </is>
      </c>
    </row>
    <row r="24">
      <c r="A24" s="26" t="inlineStr">
        <is>
          <t>Net income from continuing operations</t>
        </is>
      </c>
      <c r="B24" s="19" t="inlineStr">
        <is>
          <t>us-gaap_IncomeLossFromContinuingOperationsIncludingPortionAttributableToNoncontrollingInterest</t>
        </is>
      </c>
      <c r="C24" s="20">
        <f>1250737000.0/Summary!$B$3</f>
        <v/>
      </c>
      <c r="D24" s="21" t="n"/>
      <c r="E24" s="22">
        <f>IF(OR(D24="",C24=""),"",IF(D24=0,IF(C24=0,0,1),(C24-D24)/ABS(D24)))</f>
        <v/>
      </c>
      <c r="F24" s="23">
        <f>IF(E24="","",IF(ABS(E24)&lt;=Summary!$B$4,1,0))</f>
        <v/>
      </c>
      <c r="G24" s="20">
        <f>1053716000.0/Summary!$B$3</f>
        <v/>
      </c>
      <c r="H24" s="21" t="n"/>
      <c r="I24" s="22">
        <f>IF(OR(H24="",G24=""),"",IF(H24=0,IF(G24=0,0,1),(G24-H24)/ABS(H24)))</f>
        <v/>
      </c>
      <c r="J24" s="23">
        <f>IF(I24="","",IF(ABS(I24)&lt;=Summary!$B$4,1,0))</f>
        <v/>
      </c>
      <c r="K24" s="24" t="n"/>
      <c r="L24" s="25" t="n"/>
      <c r="M24" s="13" t="inlineStr">
        <is>
          <t>income:18</t>
        </is>
      </c>
    </row>
    <row r="25">
      <c r="A25" s="18" t="inlineStr">
        <is>
          <t>Net income from discontinued operations, net of tax</t>
        </is>
      </c>
      <c r="B25" s="19" t="inlineStr">
        <is>
          <t>us-gaap_IncomeLossFromDiscontinuedOperationsNetOfTax</t>
        </is>
      </c>
      <c r="C25" s="20">
        <f>0.0/Summary!$B$3</f>
        <v/>
      </c>
      <c r="D25" s="21" t="n"/>
      <c r="E25" s="22">
        <f>IF(OR(D25="",C25=""),"",IF(D25=0,IF(C25=0,0,1),(C25-D25)/ABS(D25)))</f>
        <v/>
      </c>
      <c r="F25" s="23">
        <f>IF(E25="","",IF(ABS(E25)&lt;=Summary!$B$4,1,0))</f>
        <v/>
      </c>
      <c r="G25" s="20">
        <f>25000000.0/Summary!$B$3</f>
        <v/>
      </c>
      <c r="H25" s="21" t="n"/>
      <c r="I25" s="22">
        <f>IF(OR(H25="",G25=""),"",IF(H25=0,IF(G25=0,0,1),(G25-H25)/ABS(H25)))</f>
        <v/>
      </c>
      <c r="J25" s="23">
        <f>IF(I25="","",IF(ABS(I25)&lt;=Summary!$B$4,1,0))</f>
        <v/>
      </c>
      <c r="K25" s="24" t="n"/>
      <c r="L25" s="25" t="n"/>
      <c r="M25" s="13" t="inlineStr">
        <is>
          <t>income:19</t>
        </is>
      </c>
    </row>
    <row r="26">
      <c r="A26" s="26" t="inlineStr">
        <is>
          <t>Net income</t>
        </is>
      </c>
      <c r="B26" s="19" t="inlineStr">
        <is>
          <t>us-gaap_ProfitLoss</t>
        </is>
      </c>
      <c r="C26" s="20">
        <f>1250737000.0/Summary!$B$3</f>
        <v/>
      </c>
      <c r="D26" s="21" t="n"/>
      <c r="E26" s="22">
        <f>IF(OR(D26="",C26=""),"",IF(D26=0,IF(C26=0,0,1),(C26-D26)/ABS(D26)))</f>
        <v/>
      </c>
      <c r="F26" s="23">
        <f>IF(E26="","",IF(ABS(E26)&lt;=Summary!$B$4,1,0))</f>
        <v/>
      </c>
      <c r="G26" s="20">
        <f>1078716000.0/Summary!$B$3</f>
        <v/>
      </c>
      <c r="H26" s="21" t="n"/>
      <c r="I26" s="22">
        <f>IF(OR(H26="",G26=""),"",IF(H26=0,IF(G26=0,0,1),(G26-H26)/ABS(H26)))</f>
        <v/>
      </c>
      <c r="J26" s="23">
        <f>IF(I26="","",IF(ABS(I26)&lt;=Summary!$B$4,1,0))</f>
        <v/>
      </c>
      <c r="K26" s="24" t="n"/>
      <c r="L26" s="25" t="n"/>
      <c r="M26" s="13" t="inlineStr">
        <is>
          <t>income:20</t>
        </is>
      </c>
    </row>
    <row r="27">
      <c r="A27" s="18" t="inlineStr">
        <is>
          <t>Less: Net income attributable to noncontrolling interests</t>
        </is>
      </c>
      <c r="B27" s="19" t="inlineStr">
        <is>
          <t>us-gaap_NetIncomeLossAttributableToNoncontrollingInterest</t>
        </is>
      </c>
      <c r="C27" s="20">
        <f>-314395000.0/Summary!$B$3</f>
        <v/>
      </c>
      <c r="D27" s="21" t="n"/>
      <c r="E27" s="22">
        <f>IF(OR(D27="",C27=""),"",IF(D27=0,IF(C27=0,0,1),(C27-D27)/ABS(D27)))</f>
        <v/>
      </c>
      <c r="F27" s="23">
        <f>IF(E27="","",IF(ABS(E27)&lt;=Summary!$B$4,1,0))</f>
        <v/>
      </c>
      <c r="G27" s="20">
        <f>-331913000.0/Summary!$B$3</f>
        <v/>
      </c>
      <c r="H27" s="21" t="n"/>
      <c r="I27" s="22">
        <f>IF(OR(H27="",G27=""),"",IF(H27=0,IF(G27=0,0,1),(G27-H27)/ABS(H27)))</f>
        <v/>
      </c>
      <c r="J27" s="23">
        <f>IF(I27="","",IF(ABS(I27)&lt;=Summary!$B$4,1,0))</f>
        <v/>
      </c>
      <c r="K27" s="24" t="n"/>
      <c r="L27" s="25" t="n"/>
      <c r="M27" s="13" t="inlineStr">
        <is>
          <t>income:21</t>
        </is>
      </c>
    </row>
    <row r="28">
      <c r="A28" s="26" t="inlineStr">
        <is>
          <t>Net income attributable to DaVita Inc.</t>
        </is>
      </c>
      <c r="B28" s="19" t="inlineStr">
        <is>
          <t>us-gaap_NetIncomeLoss</t>
        </is>
      </c>
      <c r="C28" s="20">
        <f>936342000.0/Summary!$B$3</f>
        <v/>
      </c>
      <c r="D28" s="21" t="n"/>
      <c r="E28" s="22">
        <f>IF(OR(D28="",C28=""),"",IF(D28=0,IF(C28=0,0,1),(C28-D28)/ABS(D28)))</f>
        <v/>
      </c>
      <c r="F28" s="23">
        <f>IF(E28="","",IF(ABS(E28)&lt;=Summary!$B$4,1,0))</f>
        <v/>
      </c>
      <c r="G28" s="20">
        <f>746803000.0/Summary!$B$3</f>
        <v/>
      </c>
      <c r="H28" s="21" t="n"/>
      <c r="I28" s="22">
        <f>IF(OR(H28="",G28=""),"",IF(H28=0,IF(G28=0,0,1),(G28-H28)/ABS(H28)))</f>
        <v/>
      </c>
      <c r="J28" s="23">
        <f>IF(I28="","",IF(ABS(I28)&lt;=Summary!$B$4,1,0))</f>
        <v/>
      </c>
      <c r="K28" s="24" t="n"/>
      <c r="L28" s="25" t="n"/>
      <c r="M28" s="13" t="inlineStr">
        <is>
          <t>income:22</t>
        </is>
      </c>
    </row>
    <row r="29">
      <c r="A29" s="17" t="inlineStr">
        <is>
          <t>Earnings per share attributable to DaVita Inc.:</t>
        </is>
      </c>
    </row>
    <row r="30">
      <c r="A30" s="17" t="inlineStr">
        <is>
          <t>Weighted average shares for earnings per share:</t>
        </is>
      </c>
    </row>
    <row r="31">
      <c r="A31" s="17" t="inlineStr">
        <is>
          <t>Amounts attributable to DaVita Inc.:</t>
        </is>
      </c>
    </row>
    <row r="32">
      <c r="A32" s="18" t="inlineStr">
        <is>
          <t>Net income from continuing operations</t>
        </is>
      </c>
      <c r="B32" s="19" t="inlineStr">
        <is>
          <t>us-gaap_IncomeLossFromContinuingOperations</t>
        </is>
      </c>
      <c r="C32" s="20">
        <f>936342000.0/Summary!$B$3</f>
        <v/>
      </c>
      <c r="D32" s="21" t="n"/>
      <c r="E32" s="22">
        <f>IF(OR(D32="",C32=""),"",IF(D32=0,IF(C32=0,0,1),(C32-D32)/ABS(D32)))</f>
        <v/>
      </c>
      <c r="F32" s="23">
        <f>IF(E32="","",IF(ABS(E32)&lt;=Summary!$B$4,1,0))</f>
        <v/>
      </c>
      <c r="G32" s="20">
        <f>721803000.0/Summary!$B$3</f>
        <v/>
      </c>
      <c r="H32" s="21" t="n"/>
      <c r="I32" s="22">
        <f>IF(OR(H32="",G32=""),"",IF(H32=0,IF(G32=0,0,1),(G32-H32)/ABS(H32)))</f>
        <v/>
      </c>
      <c r="J32" s="23">
        <f>IF(I32="","",IF(ABS(I32)&lt;=Summary!$B$4,1,0))</f>
        <v/>
      </c>
      <c r="K32" s="24" t="n"/>
      <c r="L32" s="25" t="n"/>
      <c r="M32" s="13" t="inlineStr">
        <is>
          <t>income:32</t>
        </is>
      </c>
    </row>
    <row r="33">
      <c r="A33" s="18" t="inlineStr">
        <is>
          <t>Net income from discontinued operations</t>
        </is>
      </c>
      <c r="B33" s="19" t="inlineStr">
        <is>
          <t>us-gaap_IncomeLossFromDiscontinuedOperationsNetOfTaxAttributableToReportingEntity</t>
        </is>
      </c>
      <c r="C33" s="20">
        <f>0.0/Summary!$B$3</f>
        <v/>
      </c>
      <c r="D33" s="21" t="n"/>
      <c r="E33" s="22">
        <f>IF(OR(D33="",C33=""),"",IF(D33=0,IF(C33=0,0,1),(C33-D33)/ABS(D33)))</f>
        <v/>
      </c>
      <c r="F33" s="23">
        <f>IF(E33="","",IF(ABS(E33)&lt;=Summary!$B$4,1,0))</f>
        <v/>
      </c>
      <c r="G33" s="20">
        <f>25000000.0/Summary!$B$3</f>
        <v/>
      </c>
      <c r="H33" s="21" t="n"/>
      <c r="I33" s="22">
        <f>IF(OR(H33="",G33=""),"",IF(H33=0,IF(G33=0,0,1),(G33-H33)/ABS(H33)))</f>
        <v/>
      </c>
      <c r="J33" s="23">
        <f>IF(I33="","",IF(ABS(I33)&lt;=Summary!$B$4,1,0))</f>
        <v/>
      </c>
      <c r="K33" s="24" t="n"/>
      <c r="L33" s="25" t="n"/>
      <c r="M33" s="13" t="inlineStr">
        <is>
          <t>income:33</t>
        </is>
      </c>
    </row>
    <row r="34">
      <c r="A34" s="26" t="inlineStr">
        <is>
          <t>Net income attributable to DaVita Inc.</t>
        </is>
      </c>
      <c r="B34" s="19" t="inlineStr">
        <is>
          <t>us-gaap_NetIncomeLoss</t>
        </is>
      </c>
      <c r="C34" s="20">
        <f>936342000.0/Summary!$B$3</f>
        <v/>
      </c>
      <c r="D34" s="21" t="n"/>
      <c r="E34" s="22">
        <f>IF(OR(D34="",C34=""),"",IF(D34=0,IF(C34=0,0,1),(C34-D34)/ABS(D34)))</f>
        <v/>
      </c>
      <c r="F34" s="23">
        <f>IF(E34="","",IF(ABS(E34)&lt;=Summary!$B$4,1,0))</f>
        <v/>
      </c>
      <c r="G34" s="20">
        <f>746803000.0/Summary!$B$3</f>
        <v/>
      </c>
      <c r="H34" s="21" t="n"/>
      <c r="I34" s="22">
        <f>IF(OR(H34="",G34=""),"",IF(H34=0,IF(G34=0,0,1),(G34-H34)/ABS(H34)))</f>
        <v/>
      </c>
      <c r="J34" s="23">
        <f>IF(I34="","",IF(ABS(I34)&lt;=Summary!$B$4,1,0))</f>
        <v/>
      </c>
      <c r="K34" s="24" t="n"/>
      <c r="L34" s="25" t="n"/>
      <c r="M34" s="13" t="inlineStr">
        <is>
          <t>income:34</t>
        </is>
      </c>
    </row>
  </sheetData>
  <mergeCells count="2">
    <mergeCell ref="C4:F4"/>
    <mergeCell ref="G4:J4"/>
  </mergeCells>
  <conditionalFormatting sqref="E7:F7">
    <cfRule type="expression" priority="1" dxfId="0">
      <formula>AND($E7&lt;&gt;"",ABS($E7)&gt;Summary!$B$4)</formula>
    </cfRule>
  </conditionalFormatting>
  <conditionalFormatting sqref="I7:J7">
    <cfRule type="expression" priority="2" dxfId="0">
      <formula>AND($I7&lt;&gt;"",ABS($I7)&gt;Summary!$B$4)</formula>
    </cfRule>
  </conditionalFormatting>
  <conditionalFormatting sqref="E8:F8">
    <cfRule type="expression" priority="3" dxfId="0">
      <formula>AND($E8&lt;&gt;"",ABS($E8)&gt;Summary!$B$4)</formula>
    </cfRule>
  </conditionalFormatting>
  <conditionalFormatting sqref="I8:J8">
    <cfRule type="expression" priority="4" dxfId="0">
      <formula>AND($I8&lt;&gt;"",ABS($I8)&gt;Summary!$B$4)</formula>
    </cfRule>
  </conditionalFormatting>
  <conditionalFormatting sqref="E9:F9">
    <cfRule type="expression" priority="5" dxfId="0">
      <formula>AND($E9&lt;&gt;"",ABS($E9)&gt;Summary!$B$4)</formula>
    </cfRule>
  </conditionalFormatting>
  <conditionalFormatting sqref="I9:J9">
    <cfRule type="expression" priority="6" dxfId="0">
      <formula>AND($I9&lt;&gt;"",ABS($I9)&gt;Summary!$B$4)</formula>
    </cfRule>
  </conditionalFormatting>
  <conditionalFormatting sqref="E11:F11">
    <cfRule type="expression" priority="7" dxfId="0">
      <formula>AND($E11&lt;&gt;"",ABS($E11)&gt;Summary!$B$4)</formula>
    </cfRule>
  </conditionalFormatting>
  <conditionalFormatting sqref="I11:J11">
    <cfRule type="expression" priority="8" dxfId="0">
      <formula>AND($I11&lt;&gt;"",ABS($I11)&gt;Summary!$B$4)</formula>
    </cfRule>
  </conditionalFormatting>
  <conditionalFormatting sqref="E12:F12">
    <cfRule type="expression" priority="9" dxfId="0">
      <formula>AND($E12&lt;&gt;"",ABS($E12)&gt;Summary!$B$4)</formula>
    </cfRule>
  </conditionalFormatting>
  <conditionalFormatting sqref="I12:J12">
    <cfRule type="expression" priority="10" dxfId="0">
      <formula>AND($I12&lt;&gt;"",ABS($I12)&gt;Summary!$B$4)</formula>
    </cfRule>
  </conditionalFormatting>
  <conditionalFormatting sqref="E13:F13">
    <cfRule type="expression" priority="11" dxfId="0">
      <formula>AND($E13&lt;&gt;"",ABS($E13)&gt;Summary!$B$4)</formula>
    </cfRule>
  </conditionalFormatting>
  <conditionalFormatting sqref="I13:J13">
    <cfRule type="expression" priority="12" dxfId="0">
      <formula>AND($I13&lt;&gt;"",ABS($I13)&gt;Summary!$B$4)</formula>
    </cfRule>
  </conditionalFormatting>
  <conditionalFormatting sqref="E14:F14">
    <cfRule type="expression" priority="13" dxfId="0">
      <formula>AND($E14&lt;&gt;"",ABS($E14)&gt;Summary!$B$4)</formula>
    </cfRule>
  </conditionalFormatting>
  <conditionalFormatting sqref="I14:J14">
    <cfRule type="expression" priority="14" dxfId="0">
      <formula>AND($I14&lt;&gt;"",ABS($I14)&gt;Summary!$B$4)</formula>
    </cfRule>
  </conditionalFormatting>
  <conditionalFormatting sqref="E15:F15">
    <cfRule type="expression" priority="15" dxfId="0">
      <formula>AND($E15&lt;&gt;"",ABS($E15)&gt;Summary!$B$4)</formula>
    </cfRule>
  </conditionalFormatting>
  <conditionalFormatting sqref="I15:J15">
    <cfRule type="expression" priority="16" dxfId="0">
      <formula>AND($I15&lt;&gt;"",ABS($I15)&gt;Summary!$B$4)</formula>
    </cfRule>
  </conditionalFormatting>
  <conditionalFormatting sqref="E16:F16">
    <cfRule type="expression" priority="17" dxfId="0">
      <formula>AND($E16&lt;&gt;"",ABS($E16)&gt;Summary!$B$4)</formula>
    </cfRule>
  </conditionalFormatting>
  <conditionalFormatting sqref="I16:J16">
    <cfRule type="expression" priority="18" dxfId="0">
      <formula>AND($I16&lt;&gt;"",ABS($I16)&gt;Summary!$B$4)</formula>
    </cfRule>
  </conditionalFormatting>
  <conditionalFormatting sqref="E17:F17">
    <cfRule type="expression" priority="19" dxfId="0">
      <formula>AND($E17&lt;&gt;"",ABS($E17)&gt;Summary!$B$4)</formula>
    </cfRule>
  </conditionalFormatting>
  <conditionalFormatting sqref="I17:J17">
    <cfRule type="expression" priority="20" dxfId="0">
      <formula>AND($I17&lt;&gt;"",ABS($I17)&gt;Summary!$B$4)</formula>
    </cfRule>
  </conditionalFormatting>
  <conditionalFormatting sqref="E18:F18">
    <cfRule type="expression" priority="21" dxfId="0">
      <formula>AND($E18&lt;&gt;"",ABS($E18)&gt;Summary!$B$4)</formula>
    </cfRule>
  </conditionalFormatting>
  <conditionalFormatting sqref="I18:J18">
    <cfRule type="expression" priority="22" dxfId="0">
      <formula>AND($I18&lt;&gt;"",ABS($I18)&gt;Summary!$B$4)</formula>
    </cfRule>
  </conditionalFormatting>
  <conditionalFormatting sqref="E19:F19">
    <cfRule type="expression" priority="23" dxfId="0">
      <formula>AND($E19&lt;&gt;"",ABS($E19)&gt;Summary!$B$4)</formula>
    </cfRule>
  </conditionalFormatting>
  <conditionalFormatting sqref="I19:J19">
    <cfRule type="expression" priority="24" dxfId="0">
      <formula>AND($I19&lt;&gt;"",ABS($I19)&gt;Summary!$B$4)</formula>
    </cfRule>
  </conditionalFormatting>
  <conditionalFormatting sqref="E20:F20">
    <cfRule type="expression" priority="25" dxfId="0">
      <formula>AND($E20&lt;&gt;"",ABS($E20)&gt;Summary!$B$4)</formula>
    </cfRule>
  </conditionalFormatting>
  <conditionalFormatting sqref="I20:J20">
    <cfRule type="expression" priority="26" dxfId="0">
      <formula>AND($I20&lt;&gt;"",ABS($I20)&gt;Summary!$B$4)</formula>
    </cfRule>
  </conditionalFormatting>
  <conditionalFormatting sqref="E21:F21">
    <cfRule type="expression" priority="27" dxfId="0">
      <formula>AND($E21&lt;&gt;"",ABS($E21)&gt;Summary!$B$4)</formula>
    </cfRule>
  </conditionalFormatting>
  <conditionalFormatting sqref="I21:J21">
    <cfRule type="expression" priority="28" dxfId="0">
      <formula>AND($I21&lt;&gt;"",ABS($I21)&gt;Summary!$B$4)</formula>
    </cfRule>
  </conditionalFormatting>
  <conditionalFormatting sqref="E22:F22">
    <cfRule type="expression" priority="29" dxfId="0">
      <formula>AND($E22&lt;&gt;"",ABS($E22)&gt;Summary!$B$4)</formula>
    </cfRule>
  </conditionalFormatting>
  <conditionalFormatting sqref="I22:J22">
    <cfRule type="expression" priority="30" dxfId="0">
      <formula>AND($I22&lt;&gt;"",ABS($I22)&gt;Summary!$B$4)</formula>
    </cfRule>
  </conditionalFormatting>
  <conditionalFormatting sqref="E23:F23">
    <cfRule type="expression" priority="31" dxfId="0">
      <formula>AND($E23&lt;&gt;"",ABS($E23)&gt;Summary!$B$4)</formula>
    </cfRule>
  </conditionalFormatting>
  <conditionalFormatting sqref="I23:J23">
    <cfRule type="expression" priority="32" dxfId="0">
      <formula>AND($I23&lt;&gt;"",ABS($I23)&gt;Summary!$B$4)</formula>
    </cfRule>
  </conditionalFormatting>
  <conditionalFormatting sqref="E24:F24">
    <cfRule type="expression" priority="33" dxfId="0">
      <formula>AND($E24&lt;&gt;"",ABS($E24)&gt;Summary!$B$4)</formula>
    </cfRule>
  </conditionalFormatting>
  <conditionalFormatting sqref="I24:J24">
    <cfRule type="expression" priority="34" dxfId="0">
      <formula>AND($I24&lt;&gt;"",ABS($I24)&gt;Summary!$B$4)</formula>
    </cfRule>
  </conditionalFormatting>
  <conditionalFormatting sqref="E25:F25">
    <cfRule type="expression" priority="35" dxfId="0">
      <formula>AND($E25&lt;&gt;"",ABS($E25)&gt;Summary!$B$4)</formula>
    </cfRule>
  </conditionalFormatting>
  <conditionalFormatting sqref="I25:J25">
    <cfRule type="expression" priority="36" dxfId="0">
      <formula>AND($I25&lt;&gt;"",ABS($I25)&gt;Summary!$B$4)</formula>
    </cfRule>
  </conditionalFormatting>
  <conditionalFormatting sqref="E26:F26">
    <cfRule type="expression" priority="37" dxfId="0">
      <formula>AND($E26&lt;&gt;"",ABS($E26)&gt;Summary!$B$4)</formula>
    </cfRule>
  </conditionalFormatting>
  <conditionalFormatting sqref="I26:J26">
    <cfRule type="expression" priority="38" dxfId="0">
      <formula>AND($I26&lt;&gt;"",ABS($I26)&gt;Summary!$B$4)</formula>
    </cfRule>
  </conditionalFormatting>
  <conditionalFormatting sqref="E27:F27">
    <cfRule type="expression" priority="39" dxfId="0">
      <formula>AND($E27&lt;&gt;"",ABS($E27)&gt;Summary!$B$4)</formula>
    </cfRule>
  </conditionalFormatting>
  <conditionalFormatting sqref="I27:J27">
    <cfRule type="expression" priority="40" dxfId="0">
      <formula>AND($I27&lt;&gt;"",ABS($I27)&gt;Summary!$B$4)</formula>
    </cfRule>
  </conditionalFormatting>
  <conditionalFormatting sqref="E28:F28">
    <cfRule type="expression" priority="41" dxfId="0">
      <formula>AND($E28&lt;&gt;"",ABS($E28)&gt;Summary!$B$4)</formula>
    </cfRule>
  </conditionalFormatting>
  <conditionalFormatting sqref="I28:J28">
    <cfRule type="expression" priority="42" dxfId="0">
      <formula>AND($I28&lt;&gt;"",ABS($I28)&gt;Summary!$B$4)</formula>
    </cfRule>
  </conditionalFormatting>
  <conditionalFormatting sqref="E32:F32">
    <cfRule type="expression" priority="43" dxfId="0">
      <formula>AND($E32&lt;&gt;"",ABS($E32)&gt;Summary!$B$4)</formula>
    </cfRule>
  </conditionalFormatting>
  <conditionalFormatting sqref="I32:J32">
    <cfRule type="expression" priority="44" dxfId="0">
      <formula>AND($I32&lt;&gt;"",ABS($I32)&gt;Summary!$B$4)</formula>
    </cfRule>
  </conditionalFormatting>
  <conditionalFormatting sqref="E33:F33">
    <cfRule type="expression" priority="45" dxfId="0">
      <formula>AND($E33&lt;&gt;"",ABS($E33)&gt;Summary!$B$4)</formula>
    </cfRule>
  </conditionalFormatting>
  <conditionalFormatting sqref="I33:J33">
    <cfRule type="expression" priority="46" dxfId="0">
      <formula>AND($I33&lt;&gt;"",ABS($I33)&gt;Summary!$B$4)</formula>
    </cfRule>
  </conditionalFormatting>
  <conditionalFormatting sqref="E34:F34">
    <cfRule type="expression" priority="47" dxfId="0">
      <formula>AND($E34&lt;&gt;"",ABS($E34)&gt;Summary!$B$4)</formula>
    </cfRule>
  </conditionalFormatting>
  <conditionalFormatting sqref="I34:J34">
    <cfRule type="expression" priority="48" dxfId="0">
      <formula>AND($I34&lt;&gt;"",ABS($I34)&gt;Summary!$B$4)</formula>
    </cfRule>
  </conditionalFormatting>
  <dataValidations count="1">
    <dataValidation sqref="D6:D34 H6:H34" showDropDown="0" showInputMessage="0" showErrorMessage="0" allowBlank="1" errorTitle="Number expected" error="Type a number, as printed in the 10-K" type="decimal"/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13" customWidth="1" min="3" max="3"/>
    <col width="13" customWidth="1" min="4" max="4"/>
    <col width="9" customWidth="1" min="5" max="5"/>
    <col width="5" customWidth="1" min="6" max="6"/>
    <col width="13" customWidth="1" min="7" max="7"/>
    <col width="13" customWidth="1" min="8" max="8"/>
    <col width="9" customWidth="1" min="9" max="9"/>
    <col width="5" customWidth="1" min="10" max="10"/>
    <col width="24" customWidth="1" min="11" max="11"/>
    <col width="22" customWidth="1" min="12" max="12"/>
    <col hidden="1" width="13" customWidth="1" min="13" max="13"/>
  </cols>
  <sheetData>
    <row r="1">
      <c r="A1" s="1" t="inlineStr">
        <is>
          <t>CONSOLIDATED BALANCE SHEETS (DaVita Inc.)</t>
        </is>
      </c>
    </row>
    <row r="2">
      <c r="A2" s="13" t="inlineStr">
        <is>
          <t>As printed in the 10-K filed 2026-02-11: CONSOLIDATED BALANCE SHEETS - USD ($) $ in Thousands. Yellow = type the 10-K figure. Blue = the tool's figure. Red = outside the target.</t>
        </is>
      </c>
    </row>
    <row r="3">
      <c r="A3" s="14" t="inlineStr">
        <is>
          <t>Open this statement on SEC.gov</t>
        </is>
      </c>
    </row>
    <row r="4">
      <c r="C4" s="15" t="inlineStr">
        <is>
          <t>FY2024</t>
        </is>
      </c>
      <c r="G4" s="15" t="inlineStr">
        <is>
          <t>FY2025</t>
        </is>
      </c>
    </row>
    <row r="5">
      <c r="A5" s="16" t="inlineStr">
        <is>
          <t>Line</t>
        </is>
      </c>
      <c r="B5" s="16" t="inlineStr">
        <is>
          <t>XBRL tag</t>
        </is>
      </c>
      <c r="C5" s="16" t="inlineStr">
        <is>
          <t>Tool</t>
        </is>
      </c>
      <c r="D5" s="16" t="inlineStr">
        <is>
          <t>10-K</t>
        </is>
      </c>
      <c r="E5" s="16" t="inlineStr">
        <is>
          <t>Diff</t>
        </is>
      </c>
      <c r="F5" s="16" t="inlineStr">
        <is>
          <t>OK</t>
        </is>
      </c>
      <c r="G5" s="16" t="inlineStr">
        <is>
          <t>Tool</t>
        </is>
      </c>
      <c r="H5" s="16" t="inlineStr">
        <is>
          <t>10-K</t>
        </is>
      </c>
      <c r="I5" s="16" t="inlineStr">
        <is>
          <t>Diff</t>
        </is>
      </c>
      <c r="J5" s="16" t="inlineStr">
        <is>
          <t>OK</t>
        </is>
      </c>
      <c r="K5" s="16" t="inlineStr">
        <is>
          <t>Page / note</t>
        </is>
      </c>
      <c r="L5" s="16" t="inlineStr">
        <is>
          <t>Note</t>
        </is>
      </c>
      <c r="M5" s="16" t="inlineStr">
        <is>
          <t>row id</t>
        </is>
      </c>
    </row>
    <row r="6">
      <c r="A6" s="17" t="inlineStr">
        <is>
          <t>ASSETS</t>
        </is>
      </c>
    </row>
    <row r="7">
      <c r="A7" s="18" t="inlineStr">
        <is>
          <t>Cash and cash equivalents</t>
        </is>
      </c>
      <c r="B7" s="19" t="inlineStr">
        <is>
          <t>us-gaap_CashAndCashEquivalentsAtCarryingValue</t>
        </is>
      </c>
      <c r="C7" s="20">
        <f>794933000.0/Summary!$B$3</f>
        <v/>
      </c>
      <c r="D7" s="21" t="n"/>
      <c r="E7" s="22">
        <f>IF(OR(D7="",C7=""),"",IF(D7=0,IF(C7=0,0,1),(C7-D7)/ABS(D7)))</f>
        <v/>
      </c>
      <c r="F7" s="23">
        <f>IF(E7="","",IF(ABS(E7)&lt;=Summary!$B$4,1,0))</f>
        <v/>
      </c>
      <c r="G7" s="20">
        <f>676438000.0/Summary!$B$3</f>
        <v/>
      </c>
      <c r="H7" s="21" t="n"/>
      <c r="I7" s="22">
        <f>IF(OR(H7="",G7=""),"",IF(H7=0,IF(G7=0,0,1),(G7-H7)/ABS(H7)))</f>
        <v/>
      </c>
      <c r="J7" s="23">
        <f>IF(I7="","",IF(ABS(I7)&lt;=Summary!$B$4,1,0))</f>
        <v/>
      </c>
      <c r="K7" s="24" t="n"/>
      <c r="L7" s="25" t="n"/>
      <c r="M7" s="13" t="inlineStr">
        <is>
          <t>balance:1</t>
        </is>
      </c>
    </row>
    <row r="8">
      <c r="A8" s="18" t="inlineStr">
        <is>
          <t>Restricted cash and equivalents</t>
        </is>
      </c>
      <c r="B8" s="19" t="inlineStr">
        <is>
          <t>us-gaap_RestrictedCashAndCashEquivalents</t>
        </is>
      </c>
      <c r="C8" s="20">
        <f>84892000.0/Summary!$B$3</f>
        <v/>
      </c>
      <c r="D8" s="21" t="n"/>
      <c r="E8" s="22">
        <f>IF(OR(D8="",C8=""),"",IF(D8=0,IF(C8=0,0,1),(C8-D8)/ABS(D8)))</f>
        <v/>
      </c>
      <c r="F8" s="23">
        <f>IF(E8="","",IF(ABS(E8)&lt;=Summary!$B$4,1,0))</f>
        <v/>
      </c>
      <c r="G8" s="20">
        <f>81309000.0/Summary!$B$3</f>
        <v/>
      </c>
      <c r="H8" s="21" t="n"/>
      <c r="I8" s="22">
        <f>IF(OR(H8="",G8=""),"",IF(H8=0,IF(G8=0,0,1),(G8-H8)/ABS(H8)))</f>
        <v/>
      </c>
      <c r="J8" s="23">
        <f>IF(I8="","",IF(ABS(I8)&lt;=Summary!$B$4,1,0))</f>
        <v/>
      </c>
      <c r="K8" s="24" t="n"/>
      <c r="L8" s="25" t="n"/>
      <c r="M8" s="13" t="inlineStr">
        <is>
          <t>balance:2</t>
        </is>
      </c>
    </row>
    <row r="9">
      <c r="A9" s="18" t="inlineStr">
        <is>
          <t>Short-term investments</t>
        </is>
      </c>
      <c r="B9" s="19" t="inlineStr">
        <is>
          <t>us-gaap_MarketableSecuritiesCurrent</t>
        </is>
      </c>
      <c r="C9" s="20">
        <f>51064000.0/Summary!$B$3</f>
        <v/>
      </c>
      <c r="D9" s="21" t="n"/>
      <c r="E9" s="22">
        <f>IF(OR(D9="",C9=""),"",IF(D9=0,IF(C9=0,0,1),(C9-D9)/ABS(D9)))</f>
        <v/>
      </c>
      <c r="F9" s="23">
        <f>IF(E9="","",IF(ABS(E9)&lt;=Summary!$B$4,1,0))</f>
        <v/>
      </c>
      <c r="G9" s="20">
        <f>24303000.0/Summary!$B$3</f>
        <v/>
      </c>
      <c r="H9" s="21" t="n"/>
      <c r="I9" s="22">
        <f>IF(OR(H9="",G9=""),"",IF(H9=0,IF(G9=0,0,1),(G9-H9)/ABS(H9)))</f>
        <v/>
      </c>
      <c r="J9" s="23">
        <f>IF(I9="","",IF(ABS(I9)&lt;=Summary!$B$4,1,0))</f>
        <v/>
      </c>
      <c r="K9" s="24" t="n"/>
      <c r="L9" s="25" t="n"/>
      <c r="M9" s="13" t="inlineStr">
        <is>
          <t>balance:3</t>
        </is>
      </c>
    </row>
    <row r="10">
      <c r="A10" s="18" t="inlineStr">
        <is>
          <t>Accounts receivable</t>
        </is>
      </c>
      <c r="B10" s="19" t="inlineStr">
        <is>
          <t>us-gaap_AccountsReceivableNetCurrent</t>
        </is>
      </c>
      <c r="C10" s="20">
        <f>2146975000.0/Summary!$B$3</f>
        <v/>
      </c>
      <c r="D10" s="21" t="n"/>
      <c r="E10" s="22">
        <f>IF(OR(D10="",C10=""),"",IF(D10=0,IF(C10=0,0,1),(C10-D10)/ABS(D10)))</f>
        <v/>
      </c>
      <c r="F10" s="23">
        <f>IF(E10="","",IF(ABS(E10)&lt;=Summary!$B$4,1,0))</f>
        <v/>
      </c>
      <c r="G10" s="20">
        <f>2414690000.0/Summary!$B$3</f>
        <v/>
      </c>
      <c r="H10" s="21" t="n"/>
      <c r="I10" s="22">
        <f>IF(OR(H10="",G10=""),"",IF(H10=0,IF(G10=0,0,1),(G10-H10)/ABS(H10)))</f>
        <v/>
      </c>
      <c r="J10" s="23">
        <f>IF(I10="","",IF(ABS(I10)&lt;=Summary!$B$4,1,0))</f>
        <v/>
      </c>
      <c r="K10" s="24" t="n"/>
      <c r="L10" s="25" t="n"/>
      <c r="M10" s="13" t="inlineStr">
        <is>
          <t>balance:4</t>
        </is>
      </c>
    </row>
    <row r="11">
      <c r="A11" s="18" t="inlineStr">
        <is>
          <t>Inventories</t>
        </is>
      </c>
      <c r="B11" s="19" t="inlineStr">
        <is>
          <t>us-gaap_InventoryNet</t>
        </is>
      </c>
      <c r="C11" s="20">
        <f>134559000.0/Summary!$B$3</f>
        <v/>
      </c>
      <c r="D11" s="21" t="n"/>
      <c r="E11" s="22">
        <f>IF(OR(D11="",C11=""),"",IF(D11=0,IF(C11=0,0,1),(C11-D11)/ABS(D11)))</f>
        <v/>
      </c>
      <c r="F11" s="23">
        <f>IF(E11="","",IF(ABS(E11)&lt;=Summary!$B$4,1,0))</f>
        <v/>
      </c>
      <c r="G11" s="20">
        <f>160627000.0/Summary!$B$3</f>
        <v/>
      </c>
      <c r="H11" s="21" t="n"/>
      <c r="I11" s="22">
        <f>IF(OR(H11="",G11=""),"",IF(H11=0,IF(G11=0,0,1),(G11-H11)/ABS(H11)))</f>
        <v/>
      </c>
      <c r="J11" s="23">
        <f>IF(I11="","",IF(ABS(I11)&lt;=Summary!$B$4,1,0))</f>
        <v/>
      </c>
      <c r="K11" s="24" t="n"/>
      <c r="L11" s="25" t="n"/>
      <c r="M11" s="13" t="inlineStr">
        <is>
          <t>balance:5</t>
        </is>
      </c>
    </row>
    <row r="12">
      <c r="A12" s="18" t="inlineStr">
        <is>
          <t>Contract assets and other receivables</t>
        </is>
      </c>
      <c r="B12" s="19" t="inlineStr">
        <is>
          <t>us-gaap_OtherReceivablesNetCurrent</t>
        </is>
      </c>
      <c r="C12" s="20">
        <f>383166000.0/Summary!$B$3</f>
        <v/>
      </c>
      <c r="D12" s="21" t="n"/>
      <c r="E12" s="22">
        <f>IF(OR(D12="",C12=""),"",IF(D12=0,IF(C12=0,0,1),(C12-D12)/ABS(D12)))</f>
        <v/>
      </c>
      <c r="F12" s="23">
        <f>IF(E12="","",IF(ABS(E12)&lt;=Summary!$B$4,1,0))</f>
        <v/>
      </c>
      <c r="G12" s="20">
        <f>494414000.0/Summary!$B$3</f>
        <v/>
      </c>
      <c r="H12" s="21" t="n"/>
      <c r="I12" s="22">
        <f>IF(OR(H12="",G12=""),"",IF(H12=0,IF(G12=0,0,1),(G12-H12)/ABS(H12)))</f>
        <v/>
      </c>
      <c r="J12" s="23">
        <f>IF(I12="","",IF(ABS(I12)&lt;=Summary!$B$4,1,0))</f>
        <v/>
      </c>
      <c r="K12" s="24" t="n"/>
      <c r="L12" s="25" t="n"/>
      <c r="M12" s="13" t="inlineStr">
        <is>
          <t>balance:6</t>
        </is>
      </c>
    </row>
    <row r="13">
      <c r="A13" s="18" t="inlineStr">
        <is>
          <t>Prepaid and other current assets</t>
        </is>
      </c>
      <c r="B13" s="19" t="inlineStr">
        <is>
          <t>us-gaap_PrepaidExpenseAndOtherAssetsCurrent</t>
        </is>
      </c>
      <c r="C13" s="20">
        <f>122948000.0/Summary!$B$3</f>
        <v/>
      </c>
      <c r="D13" s="21" t="n"/>
      <c r="E13" s="22">
        <f>IF(OR(D13="",C13=""),"",IF(D13=0,IF(C13=0,0,1),(C13-D13)/ABS(D13)))</f>
        <v/>
      </c>
      <c r="F13" s="23">
        <f>IF(E13="","",IF(ABS(E13)&lt;=Summary!$B$4,1,0))</f>
        <v/>
      </c>
      <c r="G13" s="20">
        <f>156285000.0/Summary!$B$3</f>
        <v/>
      </c>
      <c r="H13" s="21" t="n"/>
      <c r="I13" s="22">
        <f>IF(OR(H13="",G13=""),"",IF(H13=0,IF(G13=0,0,1),(G13-H13)/ABS(H13)))</f>
        <v/>
      </c>
      <c r="J13" s="23">
        <f>IF(I13="","",IF(ABS(I13)&lt;=Summary!$B$4,1,0))</f>
        <v/>
      </c>
      <c r="K13" s="24" t="n"/>
      <c r="L13" s="25" t="n"/>
      <c r="M13" s="13" t="inlineStr">
        <is>
          <t>balance:7</t>
        </is>
      </c>
    </row>
    <row r="14">
      <c r="A14" s="18" t="inlineStr">
        <is>
          <t>Income tax receivable</t>
        </is>
      </c>
      <c r="B14" s="19" t="inlineStr">
        <is>
          <t>us-gaap_IncomeTaxesReceivable</t>
        </is>
      </c>
      <c r="C14" s="20">
        <f>27535000.0/Summary!$B$3</f>
        <v/>
      </c>
      <c r="D14" s="21" t="n"/>
      <c r="E14" s="22">
        <f>IF(OR(D14="",C14=""),"",IF(D14=0,IF(C14=0,0,1),(C14-D14)/ABS(D14)))</f>
        <v/>
      </c>
      <c r="F14" s="23">
        <f>IF(E14="","",IF(ABS(E14)&lt;=Summary!$B$4,1,0))</f>
        <v/>
      </c>
      <c r="G14" s="20">
        <f>49937000.0/Summary!$B$3</f>
        <v/>
      </c>
      <c r="H14" s="21" t="n"/>
      <c r="I14" s="22">
        <f>IF(OR(H14="",G14=""),"",IF(H14=0,IF(G14=0,0,1),(G14-H14)/ABS(H14)))</f>
        <v/>
      </c>
      <c r="J14" s="23">
        <f>IF(I14="","",IF(ABS(I14)&lt;=Summary!$B$4,1,0))</f>
        <v/>
      </c>
      <c r="K14" s="24" t="n"/>
      <c r="L14" s="25" t="n"/>
      <c r="M14" s="13" t="inlineStr">
        <is>
          <t>balance:8</t>
        </is>
      </c>
    </row>
    <row r="15">
      <c r="A15" s="26" t="inlineStr">
        <is>
          <t>Total current assets</t>
        </is>
      </c>
      <c r="B15" s="19" t="inlineStr">
        <is>
          <t>us-gaap_AssetsCurrent</t>
        </is>
      </c>
      <c r="C15" s="20">
        <f>3746072000.0/Summary!$B$3</f>
        <v/>
      </c>
      <c r="D15" s="21" t="n"/>
      <c r="E15" s="22">
        <f>IF(OR(D15="",C15=""),"",IF(D15=0,IF(C15=0,0,1),(C15-D15)/ABS(D15)))</f>
        <v/>
      </c>
      <c r="F15" s="23">
        <f>IF(E15="","",IF(ABS(E15)&lt;=Summary!$B$4,1,0))</f>
        <v/>
      </c>
      <c r="G15" s="20">
        <f>4058003000.0/Summary!$B$3</f>
        <v/>
      </c>
      <c r="H15" s="21" t="n"/>
      <c r="I15" s="22">
        <f>IF(OR(H15="",G15=""),"",IF(H15=0,IF(G15=0,0,1),(G15-H15)/ABS(H15)))</f>
        <v/>
      </c>
      <c r="J15" s="23">
        <f>IF(I15="","",IF(ABS(I15)&lt;=Summary!$B$4,1,0))</f>
        <v/>
      </c>
      <c r="K15" s="24" t="n"/>
      <c r="L15" s="25" t="n"/>
      <c r="M15" s="13" t="inlineStr">
        <is>
          <t>balance:9</t>
        </is>
      </c>
    </row>
    <row r="16">
      <c r="A16" s="18" t="inlineStr">
        <is>
          <t>Property and equipment, net of accumulated depreciation</t>
        </is>
      </c>
      <c r="B16" s="19" t="inlineStr">
        <is>
          <t>us-gaap_PropertyPlantAndEquipmentNet</t>
        </is>
      </c>
      <c r="C16" s="20">
        <f>2940916000.0/Summary!$B$3</f>
        <v/>
      </c>
      <c r="D16" s="21" t="n"/>
      <c r="E16" s="22">
        <f>IF(OR(D16="",C16=""),"",IF(D16=0,IF(C16=0,0,1),(C16-D16)/ABS(D16)))</f>
        <v/>
      </c>
      <c r="F16" s="23">
        <f>IF(E16="","",IF(ABS(E16)&lt;=Summary!$B$4,1,0))</f>
        <v/>
      </c>
      <c r="G16" s="20">
        <f>2812966000.0/Summary!$B$3</f>
        <v/>
      </c>
      <c r="H16" s="21" t="n"/>
      <c r="I16" s="22">
        <f>IF(OR(H16="",G16=""),"",IF(H16=0,IF(G16=0,0,1),(G16-H16)/ABS(H16)))</f>
        <v/>
      </c>
      <c r="J16" s="23">
        <f>IF(I16="","",IF(ABS(I16)&lt;=Summary!$B$4,1,0))</f>
        <v/>
      </c>
      <c r="K16" s="24" t="n"/>
      <c r="L16" s="25" t="n"/>
      <c r="M16" s="13" t="inlineStr">
        <is>
          <t>balance:10</t>
        </is>
      </c>
    </row>
    <row r="17">
      <c r="A17" s="18" t="inlineStr">
        <is>
          <t>Operating lease right-of-use assets</t>
        </is>
      </c>
      <c r="B17" s="19" t="inlineStr">
        <is>
          <t>us-gaap_OperatingLeaseRightOfUseAsset</t>
        </is>
      </c>
      <c r="C17" s="20">
        <f>2393558000.0/Summary!$B$3</f>
        <v/>
      </c>
      <c r="D17" s="21" t="n"/>
      <c r="E17" s="22">
        <f>IF(OR(D17="",C17=""),"",IF(D17=0,IF(C17=0,0,1),(C17-D17)/ABS(D17)))</f>
        <v/>
      </c>
      <c r="F17" s="23">
        <f>IF(E17="","",IF(ABS(E17)&lt;=Summary!$B$4,1,0))</f>
        <v/>
      </c>
      <c r="G17" s="20">
        <f>2397179000.0/Summary!$B$3</f>
        <v/>
      </c>
      <c r="H17" s="21" t="n"/>
      <c r="I17" s="22">
        <f>IF(OR(H17="",G17=""),"",IF(H17=0,IF(G17=0,0,1),(G17-H17)/ABS(H17)))</f>
        <v/>
      </c>
      <c r="J17" s="23">
        <f>IF(I17="","",IF(ABS(I17)&lt;=Summary!$B$4,1,0))</f>
        <v/>
      </c>
      <c r="K17" s="24" t="n"/>
      <c r="L17" s="25" t="n"/>
      <c r="M17" s="13" t="inlineStr">
        <is>
          <t>balance:11</t>
        </is>
      </c>
    </row>
    <row r="18">
      <c r="A18" s="18" t="inlineStr">
        <is>
          <t>Intangible assets, net of accumulated amortization</t>
        </is>
      </c>
      <c r="B18" s="19" t="inlineStr">
        <is>
          <t>us-gaap_IntangibleAssetsNetExcludingGoodwill</t>
        </is>
      </c>
      <c r="C18" s="20">
        <f>197431000.0/Summary!$B$3</f>
        <v/>
      </c>
      <c r="D18" s="21" t="n"/>
      <c r="E18" s="22">
        <f>IF(OR(D18="",C18=""),"",IF(D18=0,IF(C18=0,0,1),(C18-D18)/ABS(D18)))</f>
        <v/>
      </c>
      <c r="F18" s="23">
        <f>IF(E18="","",IF(ABS(E18)&lt;=Summary!$B$4,1,0))</f>
        <v/>
      </c>
      <c r="G18" s="20">
        <f>222125000.0/Summary!$B$3</f>
        <v/>
      </c>
      <c r="H18" s="21" t="n"/>
      <c r="I18" s="22">
        <f>IF(OR(H18="",G18=""),"",IF(H18=0,IF(G18=0,0,1),(G18-H18)/ABS(H18)))</f>
        <v/>
      </c>
      <c r="J18" s="23">
        <f>IF(I18="","",IF(ABS(I18)&lt;=Summary!$B$4,1,0))</f>
        <v/>
      </c>
      <c r="K18" s="24" t="n"/>
      <c r="L18" s="25" t="n"/>
      <c r="M18" s="13" t="inlineStr">
        <is>
          <t>balance:12</t>
        </is>
      </c>
    </row>
    <row r="19">
      <c r="A19" s="18" t="inlineStr">
        <is>
          <t>Equity method and other investments</t>
        </is>
      </c>
      <c r="B19" s="19" t="inlineStr">
        <is>
          <t>us-gaap_InvestmentsInAffiliatesSubsidiariesAssociatesAndJointVentures</t>
        </is>
      </c>
      <c r="C19" s="20">
        <f>336684000.0/Summary!$B$3</f>
        <v/>
      </c>
      <c r="D19" s="21" t="n"/>
      <c r="E19" s="22">
        <f>IF(OR(D19="",C19=""),"",IF(D19=0,IF(C19=0,0,1),(C19-D19)/ABS(D19)))</f>
        <v/>
      </c>
      <c r="F19" s="23">
        <f>IF(E19="","",IF(ABS(E19)&lt;=Summary!$B$4,1,0))</f>
        <v/>
      </c>
      <c r="G19" s="20">
        <f>157249000.0/Summary!$B$3</f>
        <v/>
      </c>
      <c r="H19" s="21" t="n"/>
      <c r="I19" s="22">
        <f>IF(OR(H19="",G19=""),"",IF(H19=0,IF(G19=0,0,1),(G19-H19)/ABS(H19)))</f>
        <v/>
      </c>
      <c r="J19" s="23">
        <f>IF(I19="","",IF(ABS(I19)&lt;=Summary!$B$4,1,0))</f>
        <v/>
      </c>
      <c r="K19" s="24" t="n"/>
      <c r="L19" s="25" t="n"/>
      <c r="M19" s="13" t="inlineStr">
        <is>
          <t>balance:13</t>
        </is>
      </c>
    </row>
    <row r="20">
      <c r="A20" s="18" t="inlineStr">
        <is>
          <t>Long-term investments</t>
        </is>
      </c>
      <c r="B20" s="19" t="inlineStr">
        <is>
          <t>us-gaap_MarketableSecuritiesNoncurrent</t>
        </is>
      </c>
      <c r="C20" s="20">
        <f>33660000.0/Summary!$B$3</f>
        <v/>
      </c>
      <c r="D20" s="21" t="n"/>
      <c r="E20" s="22">
        <f>IF(OR(D20="",C20=""),"",IF(D20=0,IF(C20=0,0,1),(C20-D20)/ABS(D20)))</f>
        <v/>
      </c>
      <c r="F20" s="23">
        <f>IF(E20="","",IF(ABS(E20)&lt;=Summary!$B$4,1,0))</f>
        <v/>
      </c>
      <c r="G20" s="20">
        <f>40966000.0/Summary!$B$3</f>
        <v/>
      </c>
      <c r="H20" s="21" t="n"/>
      <c r="I20" s="22">
        <f>IF(OR(H20="",G20=""),"",IF(H20=0,IF(G20=0,0,1),(G20-H20)/ABS(H20)))</f>
        <v/>
      </c>
      <c r="J20" s="23">
        <f>IF(I20="","",IF(ABS(I20)&lt;=Summary!$B$4,1,0))</f>
        <v/>
      </c>
      <c r="K20" s="24" t="n"/>
      <c r="L20" s="25" t="n"/>
      <c r="M20" s="13" t="inlineStr">
        <is>
          <t>balance:14</t>
        </is>
      </c>
    </row>
    <row r="21">
      <c r="A21" s="18" t="inlineStr">
        <is>
          <t>Other long-term assets</t>
        </is>
      </c>
      <c r="B21" s="19" t="inlineStr">
        <is>
          <t>us-gaap_OtherAssetsNoncurrent</t>
        </is>
      </c>
      <c r="C21" s="20">
        <f>261731000.0/Summary!$B$3</f>
        <v/>
      </c>
      <c r="D21" s="21" t="n"/>
      <c r="E21" s="22">
        <f>IF(OR(D21="",C21=""),"",IF(D21=0,IF(C21=0,0,1),(C21-D21)/ABS(D21)))</f>
        <v/>
      </c>
      <c r="F21" s="23">
        <f>IF(E21="","",IF(ABS(E21)&lt;=Summary!$B$4,1,0))</f>
        <v/>
      </c>
      <c r="G21" s="20">
        <f>246520000.0/Summary!$B$3</f>
        <v/>
      </c>
      <c r="H21" s="21" t="n"/>
      <c r="I21" s="22">
        <f>IF(OR(H21="",G21=""),"",IF(H21=0,IF(G21=0,0,1),(G21-H21)/ABS(H21)))</f>
        <v/>
      </c>
      <c r="J21" s="23">
        <f>IF(I21="","",IF(ABS(I21)&lt;=Summary!$B$4,1,0))</f>
        <v/>
      </c>
      <c r="K21" s="24" t="n"/>
      <c r="L21" s="25" t="n"/>
      <c r="M21" s="13" t="inlineStr">
        <is>
          <t>balance:15</t>
        </is>
      </c>
    </row>
    <row r="22">
      <c r="A22" s="18" t="inlineStr">
        <is>
          <t>Goodwill</t>
        </is>
      </c>
      <c r="B22" s="19" t="inlineStr">
        <is>
          <t>us-gaap_Goodwill</t>
        </is>
      </c>
      <c r="C22" s="20">
        <f>7375216000.0/Summary!$B$3</f>
        <v/>
      </c>
      <c r="D22" s="21" t="n"/>
      <c r="E22" s="22">
        <f>IF(OR(D22="",C22=""),"",IF(D22=0,IF(C22=0,0,1),(C22-D22)/ABS(D22)))</f>
        <v/>
      </c>
      <c r="F22" s="23">
        <f>IF(E22="","",IF(ABS(E22)&lt;=Summary!$B$4,1,0))</f>
        <v/>
      </c>
      <c r="G22" s="20">
        <f>7545095000.0/Summary!$B$3</f>
        <v/>
      </c>
      <c r="H22" s="21" t="n"/>
      <c r="I22" s="22">
        <f>IF(OR(H22="",G22=""),"",IF(H22=0,IF(G22=0,0,1),(G22-H22)/ABS(H22)))</f>
        <v/>
      </c>
      <c r="J22" s="23">
        <f>IF(I22="","",IF(ABS(I22)&lt;=Summary!$B$4,1,0))</f>
        <v/>
      </c>
      <c r="K22" s="24" t="n"/>
      <c r="L22" s="25" t="n"/>
      <c r="M22" s="13" t="inlineStr">
        <is>
          <t>balance:16</t>
        </is>
      </c>
    </row>
    <row r="23">
      <c r="A23" s="26" t="inlineStr">
        <is>
          <t>Assets, Total</t>
        </is>
      </c>
      <c r="B23" s="19" t="inlineStr">
        <is>
          <t>us-gaap_Assets</t>
        </is>
      </c>
      <c r="C23" s="20">
        <f>17285268000.0/Summary!$B$3</f>
        <v/>
      </c>
      <c r="D23" s="21" t="n"/>
      <c r="E23" s="22">
        <f>IF(OR(D23="",C23=""),"",IF(D23=0,IF(C23=0,0,1),(C23-D23)/ABS(D23)))</f>
        <v/>
      </c>
      <c r="F23" s="23">
        <f>IF(E23="","",IF(ABS(E23)&lt;=Summary!$B$4,1,0))</f>
        <v/>
      </c>
      <c r="G23" s="20">
        <f>17480103000.0/Summary!$B$3</f>
        <v/>
      </c>
      <c r="H23" s="21" t="n"/>
      <c r="I23" s="22">
        <f>IF(OR(H23="",G23=""),"",IF(H23=0,IF(G23=0,0,1),(G23-H23)/ABS(H23)))</f>
        <v/>
      </c>
      <c r="J23" s="23">
        <f>IF(I23="","",IF(ABS(I23)&lt;=Summary!$B$4,1,0))</f>
        <v/>
      </c>
      <c r="K23" s="24" t="n"/>
      <c r="L23" s="25" t="n"/>
      <c r="M23" s="13" t="inlineStr">
        <is>
          <t>balance:17</t>
        </is>
      </c>
    </row>
    <row r="24">
      <c r="A24" s="17" t="inlineStr">
        <is>
          <t>LIABILITIES AND EQUITY</t>
        </is>
      </c>
    </row>
    <row r="25">
      <c r="A25" s="18" t="inlineStr">
        <is>
          <t>Accounts payable</t>
        </is>
      </c>
      <c r="B25" s="19" t="inlineStr">
        <is>
          <t>us-gaap_AccountsPayableCurrent</t>
        </is>
      </c>
      <c r="C25" s="20">
        <f>547200000.0/Summary!$B$3</f>
        <v/>
      </c>
      <c r="D25" s="21" t="n"/>
      <c r="E25" s="22">
        <f>IF(OR(D25="",C25=""),"",IF(D25=0,IF(C25=0,0,1),(C25-D25)/ABS(D25)))</f>
        <v/>
      </c>
      <c r="F25" s="23">
        <f>IF(E25="","",IF(ABS(E25)&lt;=Summary!$B$4,1,0))</f>
        <v/>
      </c>
      <c r="G25" s="20">
        <f>696148000.0/Summary!$B$3</f>
        <v/>
      </c>
      <c r="H25" s="21" t="n"/>
      <c r="I25" s="22">
        <f>IF(OR(H25="",G25=""),"",IF(H25=0,IF(G25=0,0,1),(G25-H25)/ABS(H25)))</f>
        <v/>
      </c>
      <c r="J25" s="23">
        <f>IF(I25="","",IF(ABS(I25)&lt;=Summary!$B$4,1,0))</f>
        <v/>
      </c>
      <c r="K25" s="24" t="n"/>
      <c r="L25" s="25" t="n"/>
      <c r="M25" s="13" t="inlineStr">
        <is>
          <t>balance:19</t>
        </is>
      </c>
    </row>
    <row r="26">
      <c r="A26" s="18" t="inlineStr">
        <is>
          <t>Other liabilities</t>
        </is>
      </c>
      <c r="B26" s="19" t="inlineStr">
        <is>
          <t>us-gaap_OtherLiabilitiesCurrent</t>
        </is>
      </c>
      <c r="C26" s="20">
        <f>934145000.0/Summary!$B$3</f>
        <v/>
      </c>
      <c r="D26" s="21" t="n"/>
      <c r="E26" s="22">
        <f>IF(OR(D26="",C26=""),"",IF(D26=0,IF(C26=0,0,1),(C26-D26)/ABS(D26)))</f>
        <v/>
      </c>
      <c r="F26" s="23">
        <f>IF(E26="","",IF(ABS(E26)&lt;=Summary!$B$4,1,0))</f>
        <v/>
      </c>
      <c r="G26" s="20">
        <f>893024000.0/Summary!$B$3</f>
        <v/>
      </c>
      <c r="H26" s="21" t="n"/>
      <c r="I26" s="22">
        <f>IF(OR(H26="",G26=""),"",IF(H26=0,IF(G26=0,0,1),(G26-H26)/ABS(H26)))</f>
        <v/>
      </c>
      <c r="J26" s="23">
        <f>IF(I26="","",IF(ABS(I26)&lt;=Summary!$B$4,1,0))</f>
        <v/>
      </c>
      <c r="K26" s="24" t="n"/>
      <c r="L26" s="25" t="n"/>
      <c r="M26" s="13" t="inlineStr">
        <is>
          <t>balance:20</t>
        </is>
      </c>
    </row>
    <row r="27">
      <c r="A27" s="18" t="inlineStr">
        <is>
          <t>Accrued compensation and benefits</t>
        </is>
      </c>
      <c r="B27" s="19" t="inlineStr">
        <is>
          <t>us-gaap_EmployeeRelatedLiabilitiesCurrent</t>
        </is>
      </c>
      <c r="C27" s="20">
        <f>800484000.0/Summary!$B$3</f>
        <v/>
      </c>
      <c r="D27" s="21" t="n"/>
      <c r="E27" s="22">
        <f>IF(OR(D27="",C27=""),"",IF(D27=0,IF(C27=0,0,1),(C27-D27)/ABS(D27)))</f>
        <v/>
      </c>
      <c r="F27" s="23">
        <f>IF(E27="","",IF(ABS(E27)&lt;=Summary!$B$4,1,0))</f>
        <v/>
      </c>
      <c r="G27" s="20">
        <f>793478000.0/Summary!$B$3</f>
        <v/>
      </c>
      <c r="H27" s="21" t="n"/>
      <c r="I27" s="22">
        <f>IF(OR(H27="",G27=""),"",IF(H27=0,IF(G27=0,0,1),(G27-H27)/ABS(H27)))</f>
        <v/>
      </c>
      <c r="J27" s="23">
        <f>IF(I27="","",IF(ABS(I27)&lt;=Summary!$B$4,1,0))</f>
        <v/>
      </c>
      <c r="K27" s="24" t="n"/>
      <c r="L27" s="25" t="n"/>
      <c r="M27" s="13" t="inlineStr">
        <is>
          <t>balance:21</t>
        </is>
      </c>
    </row>
    <row r="28">
      <c r="A28" s="18" t="inlineStr">
        <is>
          <t>Current portion of operating lease liabilities</t>
        </is>
      </c>
      <c r="B28" s="19" t="inlineStr">
        <is>
          <t>us-gaap_OperatingLeaseLiabilityCurrent</t>
        </is>
      </c>
      <c r="C28" s="20">
        <f>410411000.0/Summary!$B$3</f>
        <v/>
      </c>
      <c r="D28" s="21" t="n"/>
      <c r="E28" s="22">
        <f>IF(OR(D28="",C28=""),"",IF(D28=0,IF(C28=0,0,1),(C28-D28)/ABS(D28)))</f>
        <v/>
      </c>
      <c r="F28" s="23">
        <f>IF(E28="","",IF(ABS(E28)&lt;=Summary!$B$4,1,0))</f>
        <v/>
      </c>
      <c r="G28" s="20">
        <f>425484000.0/Summary!$B$3</f>
        <v/>
      </c>
      <c r="H28" s="21" t="n"/>
      <c r="I28" s="22">
        <f>IF(OR(H28="",G28=""),"",IF(H28=0,IF(G28=0,0,1),(G28-H28)/ABS(H28)))</f>
        <v/>
      </c>
      <c r="J28" s="23">
        <f>IF(I28="","",IF(ABS(I28)&lt;=Summary!$B$4,1,0))</f>
        <v/>
      </c>
      <c r="K28" s="24" t="n"/>
      <c r="L28" s="25" t="n"/>
      <c r="M28" s="13" t="inlineStr">
        <is>
          <t>balance:22</t>
        </is>
      </c>
    </row>
    <row r="29">
      <c r="A29" s="18" t="inlineStr">
        <is>
          <t>Current portion of long-term debt</t>
        </is>
      </c>
      <c r="B29" s="19" t="inlineStr">
        <is>
          <t>us-gaap_LongTermDebtAndCapitalLeaseObligationsCurrent</t>
        </is>
      </c>
      <c r="C29" s="20">
        <f>270867000.0/Summary!$B$3</f>
        <v/>
      </c>
      <c r="D29" s="21" t="n"/>
      <c r="E29" s="22">
        <f>IF(OR(D29="",C29=""),"",IF(D29=0,IF(C29=0,0,1),(C29-D29)/ABS(D29)))</f>
        <v/>
      </c>
      <c r="F29" s="23">
        <f>IF(E29="","",IF(ABS(E29)&lt;=Summary!$B$4,1,0))</f>
        <v/>
      </c>
      <c r="G29" s="20">
        <f>109201000.0/Summary!$B$3</f>
        <v/>
      </c>
      <c r="H29" s="21" t="n"/>
      <c r="I29" s="22">
        <f>IF(OR(H29="",G29=""),"",IF(H29=0,IF(G29=0,0,1),(G29-H29)/ABS(H29)))</f>
        <v/>
      </c>
      <c r="J29" s="23">
        <f>IF(I29="","",IF(ABS(I29)&lt;=Summary!$B$4,1,0))</f>
        <v/>
      </c>
      <c r="K29" s="24" t="n"/>
      <c r="L29" s="25" t="n"/>
      <c r="M29" s="13" t="inlineStr">
        <is>
          <t>balance:23</t>
        </is>
      </c>
    </row>
    <row r="30">
      <c r="A30" s="18" t="inlineStr">
        <is>
          <t>Income tax payable</t>
        </is>
      </c>
      <c r="B30" s="19" t="inlineStr">
        <is>
          <t>us-gaap_AccruedIncomeTaxesCurrent</t>
        </is>
      </c>
      <c r="C30" s="20">
        <f>10303000.0/Summary!$B$3</f>
        <v/>
      </c>
      <c r="D30" s="21" t="n"/>
      <c r="E30" s="22">
        <f>IF(OR(D30="",C30=""),"",IF(D30=0,IF(C30=0,0,1),(C30-D30)/ABS(D30)))</f>
        <v/>
      </c>
      <c r="F30" s="23">
        <f>IF(E30="","",IF(ABS(E30)&lt;=Summary!$B$4,1,0))</f>
        <v/>
      </c>
      <c r="G30" s="20">
        <f>24359000.0/Summary!$B$3</f>
        <v/>
      </c>
      <c r="H30" s="21" t="n"/>
      <c r="I30" s="22">
        <f>IF(OR(H30="",G30=""),"",IF(H30=0,IF(G30=0,0,1),(G30-H30)/ABS(H30)))</f>
        <v/>
      </c>
      <c r="J30" s="23">
        <f>IF(I30="","",IF(ABS(I30)&lt;=Summary!$B$4,1,0))</f>
        <v/>
      </c>
      <c r="K30" s="24" t="n"/>
      <c r="L30" s="25" t="n"/>
      <c r="M30" s="13" t="inlineStr">
        <is>
          <t>balance:24</t>
        </is>
      </c>
    </row>
    <row r="31">
      <c r="A31" s="18" t="inlineStr">
        <is>
          <t>Due to Related Party</t>
        </is>
      </c>
      <c r="B31" s="19" t="inlineStr">
        <is>
          <t>dva_DueToRelatedParty</t>
        </is>
      </c>
      <c r="C31" s="20">
        <f>0.0/Summary!$B$3</f>
        <v/>
      </c>
      <c r="D31" s="21" t="n"/>
      <c r="E31" s="22">
        <f>IF(OR(D31="",C31=""),"",IF(D31=0,IF(C31=0,0,1),(C31-D31)/ABS(D31)))</f>
        <v/>
      </c>
      <c r="F31" s="23">
        <f>IF(E31="","",IF(ABS(E31)&lt;=Summary!$B$4,1,0))</f>
        <v/>
      </c>
      <c r="G31" s="20">
        <f>199940000.0/Summary!$B$3</f>
        <v/>
      </c>
      <c r="H31" s="21" t="n"/>
      <c r="I31" s="22">
        <f>IF(OR(H31="",G31=""),"",IF(H31=0,IF(G31=0,0,1),(G31-H31)/ABS(H31)))</f>
        <v/>
      </c>
      <c r="J31" s="23">
        <f>IF(I31="","",IF(ABS(I31)&lt;=Summary!$B$4,1,0))</f>
        <v/>
      </c>
      <c r="K31" s="24" t="n"/>
      <c r="L31" s="25" t="n"/>
      <c r="M31" s="13" t="inlineStr">
        <is>
          <t>balance:25</t>
        </is>
      </c>
    </row>
    <row r="32">
      <c r="A32" s="26" t="inlineStr">
        <is>
          <t>Total current liabilities</t>
        </is>
      </c>
      <c r="B32" s="19" t="inlineStr">
        <is>
          <t>us-gaap_LiabilitiesCurrent</t>
        </is>
      </c>
      <c r="C32" s="20">
        <f>2973410000.0/Summary!$B$3</f>
        <v/>
      </c>
      <c r="D32" s="21" t="n"/>
      <c r="E32" s="22">
        <f>IF(OR(D32="",C32=""),"",IF(D32=0,IF(C32=0,0,1),(C32-D32)/ABS(D32)))</f>
        <v/>
      </c>
      <c r="F32" s="23">
        <f>IF(E32="","",IF(ABS(E32)&lt;=Summary!$B$4,1,0))</f>
        <v/>
      </c>
      <c r="G32" s="20">
        <f>3141634000.0/Summary!$B$3</f>
        <v/>
      </c>
      <c r="H32" s="21" t="n"/>
      <c r="I32" s="22">
        <f>IF(OR(H32="",G32=""),"",IF(H32=0,IF(G32=0,0,1),(G32-H32)/ABS(H32)))</f>
        <v/>
      </c>
      <c r="J32" s="23">
        <f>IF(I32="","",IF(ABS(I32)&lt;=Summary!$B$4,1,0))</f>
        <v/>
      </c>
      <c r="K32" s="24" t="n"/>
      <c r="L32" s="25" t="n"/>
      <c r="M32" s="13" t="inlineStr">
        <is>
          <t>balance:26</t>
        </is>
      </c>
    </row>
    <row r="33">
      <c r="A33" s="18" t="inlineStr">
        <is>
          <t>Long-term operating lease liabilities</t>
        </is>
      </c>
      <c r="B33" s="19" t="inlineStr">
        <is>
          <t>us-gaap_OperatingLeaseLiabilityNoncurrent</t>
        </is>
      </c>
      <c r="C33" s="20">
        <f>2209655000.0/Summary!$B$3</f>
        <v/>
      </c>
      <c r="D33" s="21" t="n"/>
      <c r="E33" s="22">
        <f>IF(OR(D33="",C33=""),"",IF(D33=0,IF(C33=0,0,1),(C33-D33)/ABS(D33)))</f>
        <v/>
      </c>
      <c r="F33" s="23">
        <f>IF(E33="","",IF(ABS(E33)&lt;=Summary!$B$4,1,0))</f>
        <v/>
      </c>
      <c r="G33" s="20">
        <f>2175658000.0/Summary!$B$3</f>
        <v/>
      </c>
      <c r="H33" s="21" t="n"/>
      <c r="I33" s="22">
        <f>IF(OR(H33="",G33=""),"",IF(H33=0,IF(G33=0,0,1),(G33-H33)/ABS(H33)))</f>
        <v/>
      </c>
      <c r="J33" s="23">
        <f>IF(I33="","",IF(ABS(I33)&lt;=Summary!$B$4,1,0))</f>
        <v/>
      </c>
      <c r="K33" s="24" t="n"/>
      <c r="L33" s="25" t="n"/>
      <c r="M33" s="13" t="inlineStr">
        <is>
          <t>balance:27</t>
        </is>
      </c>
    </row>
    <row r="34">
      <c r="A34" s="18" t="inlineStr">
        <is>
          <t>Long-term debt</t>
        </is>
      </c>
      <c r="B34" s="19" t="inlineStr">
        <is>
          <t>us-gaap_LongTermDebtAndCapitalLeaseObligations</t>
        </is>
      </c>
      <c r="C34" s="20">
        <f>9175903000.0/Summary!$B$3</f>
        <v/>
      </c>
      <c r="D34" s="21" t="n"/>
      <c r="E34" s="22">
        <f>IF(OR(D34="",C34=""),"",IF(D34=0,IF(C34=0,0,1),(C34-D34)/ABS(D34)))</f>
        <v/>
      </c>
      <c r="F34" s="23">
        <f>IF(E34="","",IF(ABS(E34)&lt;=Summary!$B$4,1,0))</f>
        <v/>
      </c>
      <c r="G34" s="20">
        <f>10163988000.0/Summary!$B$3</f>
        <v/>
      </c>
      <c r="H34" s="21" t="n"/>
      <c r="I34" s="22">
        <f>IF(OR(H34="",G34=""),"",IF(H34=0,IF(G34=0,0,1),(G34-H34)/ABS(H34)))</f>
        <v/>
      </c>
      <c r="J34" s="23">
        <f>IF(I34="","",IF(ABS(I34)&lt;=Summary!$B$4,1,0))</f>
        <v/>
      </c>
      <c r="K34" s="24" t="n"/>
      <c r="L34" s="25" t="n"/>
      <c r="M34" s="13" t="inlineStr">
        <is>
          <t>balance:28</t>
        </is>
      </c>
    </row>
    <row r="35">
      <c r="A35" s="18" t="inlineStr">
        <is>
          <t>Other long-term liabilities</t>
        </is>
      </c>
      <c r="B35" s="19" t="inlineStr">
        <is>
          <t>us-gaap_OtherLiabilitiesNoncurrent</t>
        </is>
      </c>
      <c r="C35" s="20">
        <f>169588000.0/Summary!$B$3</f>
        <v/>
      </c>
      <c r="D35" s="21" t="n"/>
      <c r="E35" s="22">
        <f>IF(OR(D35="",C35=""),"",IF(D35=0,IF(C35=0,0,1),(C35-D35)/ABS(D35)))</f>
        <v/>
      </c>
      <c r="F35" s="23">
        <f>IF(E35="","",IF(ABS(E35)&lt;=Summary!$B$4,1,0))</f>
        <v/>
      </c>
      <c r="G35" s="20">
        <f>83516000.0/Summary!$B$3</f>
        <v/>
      </c>
      <c r="H35" s="21" t="n"/>
      <c r="I35" s="22">
        <f>IF(OR(H35="",G35=""),"",IF(H35=0,IF(G35=0,0,1),(G35-H35)/ABS(H35)))</f>
        <v/>
      </c>
      <c r="J35" s="23">
        <f>IF(I35="","",IF(ABS(I35)&lt;=Summary!$B$4,1,0))</f>
        <v/>
      </c>
      <c r="K35" s="24" t="n"/>
      <c r="L35" s="25" t="n"/>
      <c r="M35" s="13" t="inlineStr">
        <is>
          <t>balance:29</t>
        </is>
      </c>
    </row>
    <row r="36">
      <c r="A36" s="18" t="inlineStr">
        <is>
          <t>Deferred income taxes</t>
        </is>
      </c>
      <c r="B36" s="19" t="inlineStr">
        <is>
          <t>us-gaap_DeferredIncomeTaxLiabilitiesNet</t>
        </is>
      </c>
      <c r="C36" s="20">
        <f>665361000.0/Summary!$B$3</f>
        <v/>
      </c>
      <c r="D36" s="21" t="n"/>
      <c r="E36" s="22">
        <f>IF(OR(D36="",C36=""),"",IF(D36=0,IF(C36=0,0,1),(C36-D36)/ABS(D36)))</f>
        <v/>
      </c>
      <c r="F36" s="23">
        <f>IF(E36="","",IF(ABS(E36)&lt;=Summary!$B$4,1,0))</f>
        <v/>
      </c>
      <c r="G36" s="20">
        <f>756869000.0/Summary!$B$3</f>
        <v/>
      </c>
      <c r="H36" s="21" t="n"/>
      <c r="I36" s="22">
        <f>IF(OR(H36="",G36=""),"",IF(H36=0,IF(G36=0,0,1),(G36-H36)/ABS(H36)))</f>
        <v/>
      </c>
      <c r="J36" s="23">
        <f>IF(I36="","",IF(ABS(I36)&lt;=Summary!$B$4,1,0))</f>
        <v/>
      </c>
      <c r="K36" s="24" t="n"/>
      <c r="L36" s="25" t="n"/>
      <c r="M36" s="13" t="inlineStr">
        <is>
          <t>balance:30</t>
        </is>
      </c>
    </row>
    <row r="37">
      <c r="A37" s="26" t="inlineStr">
        <is>
          <t>Total liabilities</t>
        </is>
      </c>
      <c r="B37" s="19" t="inlineStr">
        <is>
          <t>us-gaap_Liabilities</t>
        </is>
      </c>
      <c r="C37" s="20">
        <f>15193917000.0/Summary!$B$3</f>
        <v/>
      </c>
      <c r="D37" s="21" t="n"/>
      <c r="E37" s="22">
        <f>IF(OR(D37="",C37=""),"",IF(D37=0,IF(C37=0,0,1),(C37-D37)/ABS(D37)))</f>
        <v/>
      </c>
      <c r="F37" s="23">
        <f>IF(E37="","",IF(ABS(E37)&lt;=Summary!$B$4,1,0))</f>
        <v/>
      </c>
      <c r="G37" s="20">
        <f>16321665000.0/Summary!$B$3</f>
        <v/>
      </c>
      <c r="H37" s="21" t="n"/>
      <c r="I37" s="22">
        <f>IF(OR(H37="",G37=""),"",IF(H37=0,IF(G37=0,0,1),(G37-H37)/ABS(H37)))</f>
        <v/>
      </c>
      <c r="J37" s="23">
        <f>IF(I37="","",IF(ABS(I37)&lt;=Summary!$B$4,1,0))</f>
        <v/>
      </c>
      <c r="K37" s="24" t="n"/>
      <c r="L37" s="25" t="n"/>
      <c r="M37" s="13" t="inlineStr">
        <is>
          <t>balance:31</t>
        </is>
      </c>
    </row>
    <row r="38">
      <c r="A38" s="17" t="inlineStr">
        <is>
          <t>Commitments and contingencies</t>
        </is>
      </c>
    </row>
    <row r="39">
      <c r="A39" s="18" t="inlineStr">
        <is>
          <t>Noncontrolling interests subject to put provisions</t>
        </is>
      </c>
      <c r="B39" s="19" t="inlineStr">
        <is>
          <t>us-gaap_RedeemableNoncontrollingInterestEquityCarryingAmount</t>
        </is>
      </c>
      <c r="C39" s="20">
        <f>1695483000.0/Summary!$B$3</f>
        <v/>
      </c>
      <c r="D39" s="21" t="n"/>
      <c r="E39" s="22">
        <f>IF(OR(D39="",C39=""),"",IF(D39=0,IF(C39=0,0,1),(C39-D39)/ABS(D39)))</f>
        <v/>
      </c>
      <c r="F39" s="23">
        <f>IF(E39="","",IF(ABS(E39)&lt;=Summary!$B$4,1,0))</f>
        <v/>
      </c>
      <c r="G39" s="20">
        <f>1532166000.0/Summary!$B$3</f>
        <v/>
      </c>
      <c r="H39" s="21" t="n"/>
      <c r="I39" s="22">
        <f>IF(OR(H39="",G39=""),"",IF(H39=0,IF(G39=0,0,1),(G39-H39)/ABS(H39)))</f>
        <v/>
      </c>
      <c r="J39" s="23">
        <f>IF(I39="","",IF(ABS(I39)&lt;=Summary!$B$4,1,0))</f>
        <v/>
      </c>
      <c r="K39" s="24" t="n"/>
      <c r="L39" s="25" t="n"/>
      <c r="M39" s="13" t="inlineStr">
        <is>
          <t>balance:33</t>
        </is>
      </c>
    </row>
    <row r="40">
      <c r="A40" s="17" t="inlineStr">
        <is>
          <t>Equity:</t>
        </is>
      </c>
    </row>
    <row r="41">
      <c r="A41" s="18" t="inlineStr">
        <is>
          <t>Preferred Stock, Value, Issued</t>
        </is>
      </c>
      <c r="B41" s="19" t="inlineStr">
        <is>
          <t>us-gaap_PreferredStockValue</t>
        </is>
      </c>
      <c r="C41" s="20">
        <f>0.0/Summary!$B$3</f>
        <v/>
      </c>
      <c r="D41" s="21" t="n"/>
      <c r="E41" s="22">
        <f>IF(OR(D41="",C41=""),"",IF(D41=0,IF(C41=0,0,1),(C41-D41)/ABS(D41)))</f>
        <v/>
      </c>
      <c r="F41" s="23">
        <f>IF(E41="","",IF(ABS(E41)&lt;=Summary!$B$4,1,0))</f>
        <v/>
      </c>
      <c r="G41" s="20">
        <f>0.0/Summary!$B$3</f>
        <v/>
      </c>
      <c r="H41" s="21" t="n"/>
      <c r="I41" s="22">
        <f>IF(OR(H41="",G41=""),"",IF(H41=0,IF(G41=0,0,1),(G41-H41)/ABS(H41)))</f>
        <v/>
      </c>
      <c r="J41" s="23">
        <f>IF(I41="","",IF(ABS(I41)&lt;=Summary!$B$4,1,0))</f>
        <v/>
      </c>
      <c r="K41" s="24" t="n"/>
      <c r="L41" s="25" t="n"/>
      <c r="M41" s="13" t="inlineStr">
        <is>
          <t>balance:35</t>
        </is>
      </c>
    </row>
    <row r="42">
      <c r="A42" s="18" t="inlineStr">
        <is>
          <t>Common Stock, Value, Issued</t>
        </is>
      </c>
      <c r="B42" s="19" t="inlineStr">
        <is>
          <t>us-gaap_CommonStockValue</t>
        </is>
      </c>
      <c r="C42" s="20">
        <f>90000.0/Summary!$B$3</f>
        <v/>
      </c>
      <c r="D42" s="21" t="n"/>
      <c r="E42" s="22">
        <f>IF(OR(D42="",C42=""),"",IF(D42=0,IF(C42=0,0,1),(C42-D42)/ABS(D42)))</f>
        <v/>
      </c>
      <c r="F42" s="23">
        <f>IF(E42="","",IF(ABS(E42)&lt;=Summary!$B$4,1,0))</f>
        <v/>
      </c>
      <c r="G42" s="20">
        <f>69000.0/Summary!$B$3</f>
        <v/>
      </c>
      <c r="H42" s="21" t="n"/>
      <c r="I42" s="22">
        <f>IF(OR(H42="",G42=""),"",IF(H42=0,IF(G42=0,0,1),(G42-H42)/ABS(H42)))</f>
        <v/>
      </c>
      <c r="J42" s="23">
        <f>IF(I42="","",IF(ABS(I42)&lt;=Summary!$B$4,1,0))</f>
        <v/>
      </c>
      <c r="K42" s="24" t="n"/>
      <c r="L42" s="25" t="n"/>
      <c r="M42" s="13" t="inlineStr">
        <is>
          <t>balance:36</t>
        </is>
      </c>
    </row>
    <row r="43">
      <c r="A43" s="18" t="inlineStr">
        <is>
          <t>Additional paid-in capital</t>
        </is>
      </c>
      <c r="B43" s="19" t="inlineStr">
        <is>
          <t>us-gaap_AdditionalPaidInCapitalCommonStock</t>
        </is>
      </c>
      <c r="C43" s="20">
        <f>286270000.0/Summary!$B$3</f>
        <v/>
      </c>
      <c r="D43" s="21" t="n"/>
      <c r="E43" s="22">
        <f>IF(OR(D43="",C43=""),"",IF(D43=0,IF(C43=0,0,1),(C43-D43)/ABS(D43)))</f>
        <v/>
      </c>
      <c r="F43" s="23">
        <f>IF(E43="","",IF(ABS(E43)&lt;=Summary!$B$4,1,0))</f>
        <v/>
      </c>
      <c r="G43" s="20">
        <f>0.0/Summary!$B$3</f>
        <v/>
      </c>
      <c r="H43" s="21" t="n"/>
      <c r="I43" s="22">
        <f>IF(OR(H43="",G43=""),"",IF(H43=0,IF(G43=0,0,1),(G43-H43)/ABS(H43)))</f>
        <v/>
      </c>
      <c r="J43" s="23">
        <f>IF(I43="","",IF(ABS(I43)&lt;=Summary!$B$4,1,0))</f>
        <v/>
      </c>
      <c r="K43" s="24" t="n"/>
      <c r="L43" s="25" t="n"/>
      <c r="M43" s="13" t="inlineStr">
        <is>
          <t>balance:37</t>
        </is>
      </c>
    </row>
    <row r="44">
      <c r="A44" s="18" t="inlineStr">
        <is>
          <t>Accumulated (deficit) earnings</t>
        </is>
      </c>
      <c r="B44" s="19" t="inlineStr">
        <is>
          <t>us-gaap_RetainedEarningsAccumulatedDeficit</t>
        </is>
      </c>
      <c r="C44" s="20">
        <f>1534630000.0/Summary!$B$3</f>
        <v/>
      </c>
      <c r="D44" s="21" t="n"/>
      <c r="E44" s="22">
        <f>IF(OR(D44="",C44=""),"",IF(D44=0,IF(C44=0,0,1),(C44-D44)/ABS(D44)))</f>
        <v/>
      </c>
      <c r="F44" s="23">
        <f>IF(E44="","",IF(ABS(E44)&lt;=Summary!$B$4,1,0))</f>
        <v/>
      </c>
      <c r="G44" s="20">
        <f>-328428000.0/Summary!$B$3</f>
        <v/>
      </c>
      <c r="H44" s="21" t="n"/>
      <c r="I44" s="22">
        <f>IF(OR(H44="",G44=""),"",IF(H44=0,IF(G44=0,0,1),(G44-H44)/ABS(H44)))</f>
        <v/>
      </c>
      <c r="J44" s="23">
        <f>IF(I44="","",IF(ABS(I44)&lt;=Summary!$B$4,1,0))</f>
        <v/>
      </c>
      <c r="K44" s="24" t="n"/>
      <c r="L44" s="25" t="n"/>
      <c r="M44" s="13" t="inlineStr">
        <is>
          <t>balance:38</t>
        </is>
      </c>
    </row>
    <row r="45">
      <c r="A45" s="18" t="inlineStr">
        <is>
          <t>Treasury Stock, Value</t>
        </is>
      </c>
      <c r="B45" s="19" t="inlineStr">
        <is>
          <t>us-gaap_TreasuryStockValue</t>
        </is>
      </c>
      <c r="C45" s="20">
        <f>-1389072000.0/Summary!$B$3</f>
        <v/>
      </c>
      <c r="D45" s="21" t="n"/>
      <c r="E45" s="22">
        <f>IF(OR(D45="",C45=""),"",IF(D45=0,IF(C45=0,0,1),(C45-D45)/ABS(D45)))</f>
        <v/>
      </c>
      <c r="F45" s="23">
        <f>IF(E45="","",IF(ABS(E45)&lt;=Summary!$B$4,1,0))</f>
        <v/>
      </c>
      <c r="G45" s="20">
        <f>-199940000.0/Summary!$B$3</f>
        <v/>
      </c>
      <c r="H45" s="21" t="n"/>
      <c r="I45" s="22">
        <f>IF(OR(H45="",G45=""),"",IF(H45=0,IF(G45=0,0,1),(G45-H45)/ABS(H45)))</f>
        <v/>
      </c>
      <c r="J45" s="23">
        <f>IF(I45="","",IF(ABS(I45)&lt;=Summary!$B$4,1,0))</f>
        <v/>
      </c>
      <c r="K45" s="24" t="n"/>
      <c r="L45" s="25" t="n"/>
      <c r="M45" s="13" t="inlineStr">
        <is>
          <t>balance:39</t>
        </is>
      </c>
    </row>
    <row r="46">
      <c r="A46" s="18" t="inlineStr">
        <is>
          <t>Accumulated other comprehensive loss</t>
        </is>
      </c>
      <c r="B46" s="19" t="inlineStr">
        <is>
          <t>us-gaap_AccumulatedOtherComprehensiveIncomeLossNetOfTax</t>
        </is>
      </c>
      <c r="C46" s="20">
        <f>-310796000.0/Summary!$B$3</f>
        <v/>
      </c>
      <c r="D46" s="21" t="n"/>
      <c r="E46" s="22">
        <f>IF(OR(D46="",C46=""),"",IF(D46=0,IF(C46=0,0,1),(C46-D46)/ABS(D46)))</f>
        <v/>
      </c>
      <c r="F46" s="23">
        <f>IF(E46="","",IF(ABS(E46)&lt;=Summary!$B$4,1,0))</f>
        <v/>
      </c>
      <c r="G46" s="20">
        <f>-122783000.0/Summary!$B$3</f>
        <v/>
      </c>
      <c r="H46" s="21" t="n"/>
      <c r="I46" s="22">
        <f>IF(OR(H46="",G46=""),"",IF(H46=0,IF(G46=0,0,1),(G46-H46)/ABS(H46)))</f>
        <v/>
      </c>
      <c r="J46" s="23">
        <f>IF(I46="","",IF(ABS(I46)&lt;=Summary!$B$4,1,0))</f>
        <v/>
      </c>
      <c r="K46" s="24" t="n"/>
      <c r="L46" s="25" t="n"/>
      <c r="M46" s="13" t="inlineStr">
        <is>
          <t>balance:40</t>
        </is>
      </c>
    </row>
    <row r="47">
      <c r="A47" s="26" t="inlineStr">
        <is>
          <t>Total DaVita Inc. shareholders' equity (deficit)</t>
        </is>
      </c>
      <c r="B47" s="19" t="inlineStr">
        <is>
          <t>us-gaap_StockholdersEquity</t>
        </is>
      </c>
      <c r="C47" s="20">
        <f>121122000.0/Summary!$B$3</f>
        <v/>
      </c>
      <c r="D47" s="21" t="n"/>
      <c r="E47" s="22">
        <f>IF(OR(D47="",C47=""),"",IF(D47=0,IF(C47=0,0,1),(C47-D47)/ABS(D47)))</f>
        <v/>
      </c>
      <c r="F47" s="23">
        <f>IF(E47="","",IF(ABS(E47)&lt;=Summary!$B$4,1,0))</f>
        <v/>
      </c>
      <c r="G47" s="20">
        <f>-651082000.0/Summary!$B$3</f>
        <v/>
      </c>
      <c r="H47" s="21" t="n"/>
      <c r="I47" s="22">
        <f>IF(OR(H47="",G47=""),"",IF(H47=0,IF(G47=0,0,1),(G47-H47)/ABS(H47)))</f>
        <v/>
      </c>
      <c r="J47" s="23">
        <f>IF(I47="","",IF(ABS(I47)&lt;=Summary!$B$4,1,0))</f>
        <v/>
      </c>
      <c r="K47" s="24" t="n"/>
      <c r="L47" s="25" t="n"/>
      <c r="M47" s="13" t="inlineStr">
        <is>
          <t>balance:41</t>
        </is>
      </c>
    </row>
    <row r="48">
      <c r="A48" s="18" t="inlineStr">
        <is>
          <t>Noncontrolling interests not subject to put provisions</t>
        </is>
      </c>
      <c r="B48" s="19" t="inlineStr">
        <is>
          <t>us-gaap_MinorityInterest</t>
        </is>
      </c>
      <c r="C48" s="20">
        <f>274746000.0/Summary!$B$3</f>
        <v/>
      </c>
      <c r="D48" s="21" t="n"/>
      <c r="E48" s="22">
        <f>IF(OR(D48="",C48=""),"",IF(D48=0,IF(C48=0,0,1),(C48-D48)/ABS(D48)))</f>
        <v/>
      </c>
      <c r="F48" s="23">
        <f>IF(E48="","",IF(ABS(E48)&lt;=Summary!$B$4,1,0))</f>
        <v/>
      </c>
      <c r="G48" s="20">
        <f>277354000.0/Summary!$B$3</f>
        <v/>
      </c>
      <c r="H48" s="21" t="n"/>
      <c r="I48" s="22">
        <f>IF(OR(H48="",G48=""),"",IF(H48=0,IF(G48=0,0,1),(G48-H48)/ABS(H48)))</f>
        <v/>
      </c>
      <c r="J48" s="23">
        <f>IF(I48="","",IF(ABS(I48)&lt;=Summary!$B$4,1,0))</f>
        <v/>
      </c>
      <c r="K48" s="24" t="n"/>
      <c r="L48" s="25" t="n"/>
      <c r="M48" s="13" t="inlineStr">
        <is>
          <t>balance:42</t>
        </is>
      </c>
    </row>
    <row r="49">
      <c r="A49" s="26" t="inlineStr">
        <is>
          <t>Total equity (deficit)</t>
        </is>
      </c>
      <c r="B49" s="19" t="inlineStr">
        <is>
          <t>us-gaap_StockholdersEquityIncludingPortionAttributableToNoncontrollingInterest</t>
        </is>
      </c>
      <c r="C49" s="20">
        <f>395868000.0/Summary!$B$3</f>
        <v/>
      </c>
      <c r="D49" s="21" t="n"/>
      <c r="E49" s="22">
        <f>IF(OR(D49="",C49=""),"",IF(D49=0,IF(C49=0,0,1),(C49-D49)/ABS(D49)))</f>
        <v/>
      </c>
      <c r="F49" s="23">
        <f>IF(E49="","",IF(ABS(E49)&lt;=Summary!$B$4,1,0))</f>
        <v/>
      </c>
      <c r="G49" s="20">
        <f>-373728000.0/Summary!$B$3</f>
        <v/>
      </c>
      <c r="H49" s="21" t="n"/>
      <c r="I49" s="22">
        <f>IF(OR(H49="",G49=""),"",IF(H49=0,IF(G49=0,0,1),(G49-H49)/ABS(H49)))</f>
        <v/>
      </c>
      <c r="J49" s="23">
        <f>IF(I49="","",IF(ABS(I49)&lt;=Summary!$B$4,1,0))</f>
        <v/>
      </c>
      <c r="K49" s="24" t="n"/>
      <c r="L49" s="25" t="n"/>
      <c r="M49" s="13" t="inlineStr">
        <is>
          <t>balance:43</t>
        </is>
      </c>
    </row>
    <row r="50">
      <c r="A50" s="26" t="inlineStr">
        <is>
          <t>Total liabilities and shareholders' equity</t>
        </is>
      </c>
      <c r="B50" s="19" t="inlineStr">
        <is>
          <t>us-gaap_LiabilitiesAndStockholdersEquity</t>
        </is>
      </c>
      <c r="C50" s="20">
        <f>17285268000.0/Summary!$B$3</f>
        <v/>
      </c>
      <c r="D50" s="21" t="n"/>
      <c r="E50" s="22">
        <f>IF(OR(D50="",C50=""),"",IF(D50=0,IF(C50=0,0,1),(C50-D50)/ABS(D50)))</f>
        <v/>
      </c>
      <c r="F50" s="23">
        <f>IF(E50="","",IF(ABS(E50)&lt;=Summary!$B$4,1,0))</f>
        <v/>
      </c>
      <c r="G50" s="20">
        <f>17480103000.0/Summary!$B$3</f>
        <v/>
      </c>
      <c r="H50" s="21" t="n"/>
      <c r="I50" s="22">
        <f>IF(OR(H50="",G50=""),"",IF(H50=0,IF(G50=0,0,1),(G50-H50)/ABS(H50)))</f>
        <v/>
      </c>
      <c r="J50" s="23">
        <f>IF(I50="","",IF(ABS(I50)&lt;=Summary!$B$4,1,0))</f>
        <v/>
      </c>
      <c r="K50" s="24" t="n"/>
      <c r="L50" s="25" t="n"/>
      <c r="M50" s="13" t="inlineStr">
        <is>
          <t>balance:44</t>
        </is>
      </c>
    </row>
  </sheetData>
  <mergeCells count="2">
    <mergeCell ref="C4:F4"/>
    <mergeCell ref="G4:J4"/>
  </mergeCells>
  <conditionalFormatting sqref="E7:F7">
    <cfRule type="expression" priority="1" dxfId="0">
      <formula>AND($E7&lt;&gt;"",ABS($E7)&gt;Summary!$B$4)</formula>
    </cfRule>
  </conditionalFormatting>
  <conditionalFormatting sqref="I7:J7">
    <cfRule type="expression" priority="2" dxfId="0">
      <formula>AND($I7&lt;&gt;"",ABS($I7)&gt;Summary!$B$4)</formula>
    </cfRule>
  </conditionalFormatting>
  <conditionalFormatting sqref="E8:F8">
    <cfRule type="expression" priority="3" dxfId="0">
      <formula>AND($E8&lt;&gt;"",ABS($E8)&gt;Summary!$B$4)</formula>
    </cfRule>
  </conditionalFormatting>
  <conditionalFormatting sqref="I8:J8">
    <cfRule type="expression" priority="4" dxfId="0">
      <formula>AND($I8&lt;&gt;"",ABS($I8)&gt;Summary!$B$4)</formula>
    </cfRule>
  </conditionalFormatting>
  <conditionalFormatting sqref="E9:F9">
    <cfRule type="expression" priority="5" dxfId="0">
      <formula>AND($E9&lt;&gt;"",ABS($E9)&gt;Summary!$B$4)</formula>
    </cfRule>
  </conditionalFormatting>
  <conditionalFormatting sqref="I9:J9">
    <cfRule type="expression" priority="6" dxfId="0">
      <formula>AND($I9&lt;&gt;"",ABS($I9)&gt;Summary!$B$4)</formula>
    </cfRule>
  </conditionalFormatting>
  <conditionalFormatting sqref="E10:F10">
    <cfRule type="expression" priority="7" dxfId="0">
      <formula>AND($E10&lt;&gt;"",ABS($E10)&gt;Summary!$B$4)</formula>
    </cfRule>
  </conditionalFormatting>
  <conditionalFormatting sqref="I10:J10">
    <cfRule type="expression" priority="8" dxfId="0">
      <formula>AND($I10&lt;&gt;"",ABS($I10)&gt;Summary!$B$4)</formula>
    </cfRule>
  </conditionalFormatting>
  <conditionalFormatting sqref="E11:F11">
    <cfRule type="expression" priority="9" dxfId="0">
      <formula>AND($E11&lt;&gt;"",ABS($E11)&gt;Summary!$B$4)</formula>
    </cfRule>
  </conditionalFormatting>
  <conditionalFormatting sqref="I11:J11">
    <cfRule type="expression" priority="10" dxfId="0">
      <formula>AND($I11&lt;&gt;"",ABS($I11)&gt;Summary!$B$4)</formula>
    </cfRule>
  </conditionalFormatting>
  <conditionalFormatting sqref="E12:F12">
    <cfRule type="expression" priority="11" dxfId="0">
      <formula>AND($E12&lt;&gt;"",ABS($E12)&gt;Summary!$B$4)</formula>
    </cfRule>
  </conditionalFormatting>
  <conditionalFormatting sqref="I12:J12">
    <cfRule type="expression" priority="12" dxfId="0">
      <formula>AND($I12&lt;&gt;"",ABS($I12)&gt;Summary!$B$4)</formula>
    </cfRule>
  </conditionalFormatting>
  <conditionalFormatting sqref="E13:F13">
    <cfRule type="expression" priority="13" dxfId="0">
      <formula>AND($E13&lt;&gt;"",ABS($E13)&gt;Summary!$B$4)</formula>
    </cfRule>
  </conditionalFormatting>
  <conditionalFormatting sqref="I13:J13">
    <cfRule type="expression" priority="14" dxfId="0">
      <formula>AND($I13&lt;&gt;"",ABS($I13)&gt;Summary!$B$4)</formula>
    </cfRule>
  </conditionalFormatting>
  <conditionalFormatting sqref="E14:F14">
    <cfRule type="expression" priority="15" dxfId="0">
      <formula>AND($E14&lt;&gt;"",ABS($E14)&gt;Summary!$B$4)</formula>
    </cfRule>
  </conditionalFormatting>
  <conditionalFormatting sqref="I14:J14">
    <cfRule type="expression" priority="16" dxfId="0">
      <formula>AND($I14&lt;&gt;"",ABS($I14)&gt;Summary!$B$4)</formula>
    </cfRule>
  </conditionalFormatting>
  <conditionalFormatting sqref="E15:F15">
    <cfRule type="expression" priority="17" dxfId="0">
      <formula>AND($E15&lt;&gt;"",ABS($E15)&gt;Summary!$B$4)</formula>
    </cfRule>
  </conditionalFormatting>
  <conditionalFormatting sqref="I15:J15">
    <cfRule type="expression" priority="18" dxfId="0">
      <formula>AND($I15&lt;&gt;"",ABS($I15)&gt;Summary!$B$4)</formula>
    </cfRule>
  </conditionalFormatting>
  <conditionalFormatting sqref="E16:F16">
    <cfRule type="expression" priority="19" dxfId="0">
      <formula>AND($E16&lt;&gt;"",ABS($E16)&gt;Summary!$B$4)</formula>
    </cfRule>
  </conditionalFormatting>
  <conditionalFormatting sqref="I16:J16">
    <cfRule type="expression" priority="20" dxfId="0">
      <formula>AND($I16&lt;&gt;"",ABS($I16)&gt;Summary!$B$4)</formula>
    </cfRule>
  </conditionalFormatting>
  <conditionalFormatting sqref="E17:F17">
    <cfRule type="expression" priority="21" dxfId="0">
      <formula>AND($E17&lt;&gt;"",ABS($E17)&gt;Summary!$B$4)</formula>
    </cfRule>
  </conditionalFormatting>
  <conditionalFormatting sqref="I17:J17">
    <cfRule type="expression" priority="22" dxfId="0">
      <formula>AND($I17&lt;&gt;"",ABS($I17)&gt;Summary!$B$4)</formula>
    </cfRule>
  </conditionalFormatting>
  <conditionalFormatting sqref="E18:F18">
    <cfRule type="expression" priority="23" dxfId="0">
      <formula>AND($E18&lt;&gt;"",ABS($E18)&gt;Summary!$B$4)</formula>
    </cfRule>
  </conditionalFormatting>
  <conditionalFormatting sqref="I18:J18">
    <cfRule type="expression" priority="24" dxfId="0">
      <formula>AND($I18&lt;&gt;"",ABS($I18)&gt;Summary!$B$4)</formula>
    </cfRule>
  </conditionalFormatting>
  <conditionalFormatting sqref="E19:F19">
    <cfRule type="expression" priority="25" dxfId="0">
      <formula>AND($E19&lt;&gt;"",ABS($E19)&gt;Summary!$B$4)</formula>
    </cfRule>
  </conditionalFormatting>
  <conditionalFormatting sqref="I19:J19">
    <cfRule type="expression" priority="26" dxfId="0">
      <formula>AND($I19&lt;&gt;"",ABS($I19)&gt;Summary!$B$4)</formula>
    </cfRule>
  </conditionalFormatting>
  <conditionalFormatting sqref="E20:F20">
    <cfRule type="expression" priority="27" dxfId="0">
      <formula>AND($E20&lt;&gt;"",ABS($E20)&gt;Summary!$B$4)</formula>
    </cfRule>
  </conditionalFormatting>
  <conditionalFormatting sqref="I20:J20">
    <cfRule type="expression" priority="28" dxfId="0">
      <formula>AND($I20&lt;&gt;"",ABS($I20)&gt;Summary!$B$4)</formula>
    </cfRule>
  </conditionalFormatting>
  <conditionalFormatting sqref="E21:F21">
    <cfRule type="expression" priority="29" dxfId="0">
      <formula>AND($E21&lt;&gt;"",ABS($E21)&gt;Summary!$B$4)</formula>
    </cfRule>
  </conditionalFormatting>
  <conditionalFormatting sqref="I21:J21">
    <cfRule type="expression" priority="30" dxfId="0">
      <formula>AND($I21&lt;&gt;"",ABS($I21)&gt;Summary!$B$4)</formula>
    </cfRule>
  </conditionalFormatting>
  <conditionalFormatting sqref="E22:F22">
    <cfRule type="expression" priority="31" dxfId="0">
      <formula>AND($E22&lt;&gt;"",ABS($E22)&gt;Summary!$B$4)</formula>
    </cfRule>
  </conditionalFormatting>
  <conditionalFormatting sqref="I22:J22">
    <cfRule type="expression" priority="32" dxfId="0">
      <formula>AND($I22&lt;&gt;"",ABS($I22)&gt;Summary!$B$4)</formula>
    </cfRule>
  </conditionalFormatting>
  <conditionalFormatting sqref="E23:F23">
    <cfRule type="expression" priority="33" dxfId="0">
      <formula>AND($E23&lt;&gt;"",ABS($E23)&gt;Summary!$B$4)</formula>
    </cfRule>
  </conditionalFormatting>
  <conditionalFormatting sqref="I23:J23">
    <cfRule type="expression" priority="34" dxfId="0">
      <formula>AND($I23&lt;&gt;"",ABS($I23)&gt;Summary!$B$4)</formula>
    </cfRule>
  </conditionalFormatting>
  <conditionalFormatting sqref="E25:F25">
    <cfRule type="expression" priority="35" dxfId="0">
      <formula>AND($E25&lt;&gt;"",ABS($E25)&gt;Summary!$B$4)</formula>
    </cfRule>
  </conditionalFormatting>
  <conditionalFormatting sqref="I25:J25">
    <cfRule type="expression" priority="36" dxfId="0">
      <formula>AND($I25&lt;&gt;"",ABS($I25)&gt;Summary!$B$4)</formula>
    </cfRule>
  </conditionalFormatting>
  <conditionalFormatting sqref="E26:F26">
    <cfRule type="expression" priority="37" dxfId="0">
      <formula>AND($E26&lt;&gt;"",ABS($E26)&gt;Summary!$B$4)</formula>
    </cfRule>
  </conditionalFormatting>
  <conditionalFormatting sqref="I26:J26">
    <cfRule type="expression" priority="38" dxfId="0">
      <formula>AND($I26&lt;&gt;"",ABS($I26)&gt;Summary!$B$4)</formula>
    </cfRule>
  </conditionalFormatting>
  <conditionalFormatting sqref="E27:F27">
    <cfRule type="expression" priority="39" dxfId="0">
      <formula>AND($E27&lt;&gt;"",ABS($E27)&gt;Summary!$B$4)</formula>
    </cfRule>
  </conditionalFormatting>
  <conditionalFormatting sqref="I27:J27">
    <cfRule type="expression" priority="40" dxfId="0">
      <formula>AND($I27&lt;&gt;"",ABS($I27)&gt;Summary!$B$4)</formula>
    </cfRule>
  </conditionalFormatting>
  <conditionalFormatting sqref="E28:F28">
    <cfRule type="expression" priority="41" dxfId="0">
      <formula>AND($E28&lt;&gt;"",ABS($E28)&gt;Summary!$B$4)</formula>
    </cfRule>
  </conditionalFormatting>
  <conditionalFormatting sqref="I28:J28">
    <cfRule type="expression" priority="42" dxfId="0">
      <formula>AND($I28&lt;&gt;"",ABS($I28)&gt;Summary!$B$4)</formula>
    </cfRule>
  </conditionalFormatting>
  <conditionalFormatting sqref="E29:F29">
    <cfRule type="expression" priority="43" dxfId="0">
      <formula>AND($E29&lt;&gt;"",ABS($E29)&gt;Summary!$B$4)</formula>
    </cfRule>
  </conditionalFormatting>
  <conditionalFormatting sqref="I29:J29">
    <cfRule type="expression" priority="44" dxfId="0">
      <formula>AND($I29&lt;&gt;"",ABS($I29)&gt;Summary!$B$4)</formula>
    </cfRule>
  </conditionalFormatting>
  <conditionalFormatting sqref="E30:F30">
    <cfRule type="expression" priority="45" dxfId="0">
      <formula>AND($E30&lt;&gt;"",ABS($E30)&gt;Summary!$B$4)</formula>
    </cfRule>
  </conditionalFormatting>
  <conditionalFormatting sqref="I30:J30">
    <cfRule type="expression" priority="46" dxfId="0">
      <formula>AND($I30&lt;&gt;"",ABS($I30)&gt;Summary!$B$4)</formula>
    </cfRule>
  </conditionalFormatting>
  <conditionalFormatting sqref="E31:F31">
    <cfRule type="expression" priority="47" dxfId="0">
      <formula>AND($E31&lt;&gt;"",ABS($E31)&gt;Summary!$B$4)</formula>
    </cfRule>
  </conditionalFormatting>
  <conditionalFormatting sqref="I31:J31">
    <cfRule type="expression" priority="48" dxfId="0">
      <formula>AND($I31&lt;&gt;"",ABS($I31)&gt;Summary!$B$4)</formula>
    </cfRule>
  </conditionalFormatting>
  <conditionalFormatting sqref="E32:F32">
    <cfRule type="expression" priority="49" dxfId="0">
      <formula>AND($E32&lt;&gt;"",ABS($E32)&gt;Summary!$B$4)</formula>
    </cfRule>
  </conditionalFormatting>
  <conditionalFormatting sqref="I32:J32">
    <cfRule type="expression" priority="50" dxfId="0">
      <formula>AND($I32&lt;&gt;"",ABS($I32)&gt;Summary!$B$4)</formula>
    </cfRule>
  </conditionalFormatting>
  <conditionalFormatting sqref="E33:F33">
    <cfRule type="expression" priority="51" dxfId="0">
      <formula>AND($E33&lt;&gt;"",ABS($E33)&gt;Summary!$B$4)</formula>
    </cfRule>
  </conditionalFormatting>
  <conditionalFormatting sqref="I33:J33">
    <cfRule type="expression" priority="52" dxfId="0">
      <formula>AND($I33&lt;&gt;"",ABS($I33)&gt;Summary!$B$4)</formula>
    </cfRule>
  </conditionalFormatting>
  <conditionalFormatting sqref="E34:F34">
    <cfRule type="expression" priority="53" dxfId="0">
      <formula>AND($E34&lt;&gt;"",ABS($E34)&gt;Summary!$B$4)</formula>
    </cfRule>
  </conditionalFormatting>
  <conditionalFormatting sqref="I34:J34">
    <cfRule type="expression" priority="54" dxfId="0">
      <formula>AND($I34&lt;&gt;"",ABS($I34)&gt;Summary!$B$4)</formula>
    </cfRule>
  </conditionalFormatting>
  <conditionalFormatting sqref="E35:F35">
    <cfRule type="expression" priority="55" dxfId="0">
      <formula>AND($E35&lt;&gt;"",ABS($E35)&gt;Summary!$B$4)</formula>
    </cfRule>
  </conditionalFormatting>
  <conditionalFormatting sqref="I35:J35">
    <cfRule type="expression" priority="56" dxfId="0">
      <formula>AND($I35&lt;&gt;"",ABS($I35)&gt;Summary!$B$4)</formula>
    </cfRule>
  </conditionalFormatting>
  <conditionalFormatting sqref="E36:F36">
    <cfRule type="expression" priority="57" dxfId="0">
      <formula>AND($E36&lt;&gt;"",ABS($E36)&gt;Summary!$B$4)</formula>
    </cfRule>
  </conditionalFormatting>
  <conditionalFormatting sqref="I36:J36">
    <cfRule type="expression" priority="58" dxfId="0">
      <formula>AND($I36&lt;&gt;"",ABS($I36)&gt;Summary!$B$4)</formula>
    </cfRule>
  </conditionalFormatting>
  <conditionalFormatting sqref="E37:F37">
    <cfRule type="expression" priority="59" dxfId="0">
      <formula>AND($E37&lt;&gt;"",ABS($E37)&gt;Summary!$B$4)</formula>
    </cfRule>
  </conditionalFormatting>
  <conditionalFormatting sqref="I37:J37">
    <cfRule type="expression" priority="60" dxfId="0">
      <formula>AND($I37&lt;&gt;"",ABS($I37)&gt;Summary!$B$4)</formula>
    </cfRule>
  </conditionalFormatting>
  <conditionalFormatting sqref="E39:F39">
    <cfRule type="expression" priority="61" dxfId="0">
      <formula>AND($E39&lt;&gt;"",ABS($E39)&gt;Summary!$B$4)</formula>
    </cfRule>
  </conditionalFormatting>
  <conditionalFormatting sqref="I39:J39">
    <cfRule type="expression" priority="62" dxfId="0">
      <formula>AND($I39&lt;&gt;"",ABS($I39)&gt;Summary!$B$4)</formula>
    </cfRule>
  </conditionalFormatting>
  <conditionalFormatting sqref="E41:F41">
    <cfRule type="expression" priority="63" dxfId="0">
      <formula>AND($E41&lt;&gt;"",ABS($E41)&gt;Summary!$B$4)</formula>
    </cfRule>
  </conditionalFormatting>
  <conditionalFormatting sqref="I41:J41">
    <cfRule type="expression" priority="64" dxfId="0">
      <formula>AND($I41&lt;&gt;"",ABS($I41)&gt;Summary!$B$4)</formula>
    </cfRule>
  </conditionalFormatting>
  <conditionalFormatting sqref="E42:F42">
    <cfRule type="expression" priority="65" dxfId="0">
      <formula>AND($E42&lt;&gt;"",ABS($E42)&gt;Summary!$B$4)</formula>
    </cfRule>
  </conditionalFormatting>
  <conditionalFormatting sqref="I42:J42">
    <cfRule type="expression" priority="66" dxfId="0">
      <formula>AND($I42&lt;&gt;"",ABS($I42)&gt;Summary!$B$4)</formula>
    </cfRule>
  </conditionalFormatting>
  <conditionalFormatting sqref="E43:F43">
    <cfRule type="expression" priority="67" dxfId="0">
      <formula>AND($E43&lt;&gt;"",ABS($E43)&gt;Summary!$B$4)</formula>
    </cfRule>
  </conditionalFormatting>
  <conditionalFormatting sqref="I43:J43">
    <cfRule type="expression" priority="68" dxfId="0">
      <formula>AND($I43&lt;&gt;"",ABS($I43)&gt;Summary!$B$4)</formula>
    </cfRule>
  </conditionalFormatting>
  <conditionalFormatting sqref="E44:F44">
    <cfRule type="expression" priority="69" dxfId="0">
      <formula>AND($E44&lt;&gt;"",ABS($E44)&gt;Summary!$B$4)</formula>
    </cfRule>
  </conditionalFormatting>
  <conditionalFormatting sqref="I44:J44">
    <cfRule type="expression" priority="70" dxfId="0">
      <formula>AND($I44&lt;&gt;"",ABS($I44)&gt;Summary!$B$4)</formula>
    </cfRule>
  </conditionalFormatting>
  <conditionalFormatting sqref="E45:F45">
    <cfRule type="expression" priority="71" dxfId="0">
      <formula>AND($E45&lt;&gt;"",ABS($E45)&gt;Summary!$B$4)</formula>
    </cfRule>
  </conditionalFormatting>
  <conditionalFormatting sqref="I45:J45">
    <cfRule type="expression" priority="72" dxfId="0">
      <formula>AND($I45&lt;&gt;"",ABS($I45)&gt;Summary!$B$4)</formula>
    </cfRule>
  </conditionalFormatting>
  <conditionalFormatting sqref="E46:F46">
    <cfRule type="expression" priority="73" dxfId="0">
      <formula>AND($E46&lt;&gt;"",ABS($E46)&gt;Summary!$B$4)</formula>
    </cfRule>
  </conditionalFormatting>
  <conditionalFormatting sqref="I46:J46">
    <cfRule type="expression" priority="74" dxfId="0">
      <formula>AND($I46&lt;&gt;"",ABS($I46)&gt;Summary!$B$4)</formula>
    </cfRule>
  </conditionalFormatting>
  <conditionalFormatting sqref="E47:F47">
    <cfRule type="expression" priority="75" dxfId="0">
      <formula>AND($E47&lt;&gt;"",ABS($E47)&gt;Summary!$B$4)</formula>
    </cfRule>
  </conditionalFormatting>
  <conditionalFormatting sqref="I47:J47">
    <cfRule type="expression" priority="76" dxfId="0">
      <formula>AND($I47&lt;&gt;"",ABS($I47)&gt;Summary!$B$4)</formula>
    </cfRule>
  </conditionalFormatting>
  <conditionalFormatting sqref="E48:F48">
    <cfRule type="expression" priority="77" dxfId="0">
      <formula>AND($E48&lt;&gt;"",ABS($E48)&gt;Summary!$B$4)</formula>
    </cfRule>
  </conditionalFormatting>
  <conditionalFormatting sqref="I48:J48">
    <cfRule type="expression" priority="78" dxfId="0">
      <formula>AND($I48&lt;&gt;"",ABS($I48)&gt;Summary!$B$4)</formula>
    </cfRule>
  </conditionalFormatting>
  <conditionalFormatting sqref="E49:F49">
    <cfRule type="expression" priority="79" dxfId="0">
      <formula>AND($E49&lt;&gt;"",ABS($E49)&gt;Summary!$B$4)</formula>
    </cfRule>
  </conditionalFormatting>
  <conditionalFormatting sqref="I49:J49">
    <cfRule type="expression" priority="80" dxfId="0">
      <formula>AND($I49&lt;&gt;"",ABS($I49)&gt;Summary!$B$4)</formula>
    </cfRule>
  </conditionalFormatting>
  <conditionalFormatting sqref="E50:F50">
    <cfRule type="expression" priority="81" dxfId="0">
      <formula>AND($E50&lt;&gt;"",ABS($E50)&gt;Summary!$B$4)</formula>
    </cfRule>
  </conditionalFormatting>
  <conditionalFormatting sqref="I50:J50">
    <cfRule type="expression" priority="82" dxfId="0">
      <formula>AND($I50&lt;&gt;"",ABS($I50)&gt;Summary!$B$4)</formula>
    </cfRule>
  </conditionalFormatting>
  <dataValidations count="1">
    <dataValidation sqref="D6:D50 H6:H50" showDropDown="0" showInputMessage="0" showErrorMessage="0" allowBlank="1" errorTitle="Number expected" error="Type a number, as printed in the 10-K" type="decimal"/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13" customWidth="1" min="3" max="3"/>
    <col width="13" customWidth="1" min="4" max="4"/>
    <col width="9" customWidth="1" min="5" max="5"/>
    <col width="5" customWidth="1" min="6" max="6"/>
    <col width="13" customWidth="1" min="7" max="7"/>
    <col width="13" customWidth="1" min="8" max="8"/>
    <col width="9" customWidth="1" min="9" max="9"/>
    <col width="5" customWidth="1" min="10" max="10"/>
    <col width="24" customWidth="1" min="11" max="11"/>
    <col width="22" customWidth="1" min="12" max="12"/>
    <col hidden="1" width="13" customWidth="1" min="13" max="13"/>
  </cols>
  <sheetData>
    <row r="1">
      <c r="A1" s="1" t="inlineStr">
        <is>
          <t>CONSOLIDATED STATEMENTS OF CASH FLOWS (DaVita Inc.)</t>
        </is>
      </c>
    </row>
    <row r="2">
      <c r="A2" s="13" t="inlineStr">
        <is>
          <t>As printed in the 10-K filed 2026-02-11: CONSOLIDATED STATEMENTS OF CASH FLOWS - USD ($) $ in Thousands. Yellow = type the 10-K figure. Blue = the tool's figure. Red = outside the target.</t>
        </is>
      </c>
    </row>
    <row r="3">
      <c r="A3" s="14" t="inlineStr">
        <is>
          <t>Open this statement on SEC.gov</t>
        </is>
      </c>
    </row>
    <row r="4">
      <c r="C4" s="15" t="inlineStr">
        <is>
          <t>FY2024</t>
        </is>
      </c>
      <c r="G4" s="15" t="inlineStr">
        <is>
          <t>FY2025</t>
        </is>
      </c>
    </row>
    <row r="5">
      <c r="A5" s="16" t="inlineStr">
        <is>
          <t>Line</t>
        </is>
      </c>
      <c r="B5" s="16" t="inlineStr">
        <is>
          <t>XBRL tag</t>
        </is>
      </c>
      <c r="C5" s="16" t="inlineStr">
        <is>
          <t>Tool</t>
        </is>
      </c>
      <c r="D5" s="16" t="inlineStr">
        <is>
          <t>10-K</t>
        </is>
      </c>
      <c r="E5" s="16" t="inlineStr">
        <is>
          <t>Diff</t>
        </is>
      </c>
      <c r="F5" s="16" t="inlineStr">
        <is>
          <t>OK</t>
        </is>
      </c>
      <c r="G5" s="16" t="inlineStr">
        <is>
          <t>Tool</t>
        </is>
      </c>
      <c r="H5" s="16" t="inlineStr">
        <is>
          <t>10-K</t>
        </is>
      </c>
      <c r="I5" s="16" t="inlineStr">
        <is>
          <t>Diff</t>
        </is>
      </c>
      <c r="J5" s="16" t="inlineStr">
        <is>
          <t>OK</t>
        </is>
      </c>
      <c r="K5" s="16" t="inlineStr">
        <is>
          <t>Page / note</t>
        </is>
      </c>
      <c r="L5" s="16" t="inlineStr">
        <is>
          <t>Note</t>
        </is>
      </c>
      <c r="M5" s="16" t="inlineStr">
        <is>
          <t>row id</t>
        </is>
      </c>
    </row>
    <row r="6">
      <c r="A6" s="17" t="inlineStr">
        <is>
          <t>Cash flows from operating activities:</t>
        </is>
      </c>
    </row>
    <row r="7">
      <c r="A7" s="18" t="inlineStr">
        <is>
          <t>Net income</t>
        </is>
      </c>
      <c r="B7" s="19" t="inlineStr">
        <is>
          <t>us-gaap_ProfitLoss</t>
        </is>
      </c>
      <c r="C7" s="20">
        <f>1250737000.0/Summary!$B$3</f>
        <v/>
      </c>
      <c r="D7" s="21" t="n"/>
      <c r="E7" s="22">
        <f>IF(OR(D7="",C7=""),"",IF(D7=0,IF(C7=0,0,1),(C7-D7)/ABS(D7)))</f>
        <v/>
      </c>
      <c r="F7" s="23">
        <f>IF(E7="","",IF(ABS(E7)&lt;=Summary!$B$4,1,0))</f>
        <v/>
      </c>
      <c r="G7" s="20">
        <f>1078716000.0/Summary!$B$3</f>
        <v/>
      </c>
      <c r="H7" s="21" t="n"/>
      <c r="I7" s="22">
        <f>IF(OR(H7="",G7=""),"",IF(H7=0,IF(G7=0,0,1),(G7-H7)/ABS(H7)))</f>
        <v/>
      </c>
      <c r="J7" s="23">
        <f>IF(I7="","",IF(ABS(I7)&lt;=Summary!$B$4,1,0))</f>
        <v/>
      </c>
      <c r="K7" s="24" t="n"/>
      <c r="L7" s="25" t="n"/>
      <c r="M7" s="13" t="inlineStr">
        <is>
          <t>cashflow:1</t>
        </is>
      </c>
    </row>
    <row r="8">
      <c r="A8" s="17" t="inlineStr">
        <is>
          <t>Adjustment to Reconcile Net Income to Cash Provided by (Used in) Operating Activity [Abstract]</t>
        </is>
      </c>
    </row>
    <row r="9">
      <c r="A9" s="18" t="inlineStr">
        <is>
          <t>Depreciation and amortization</t>
        </is>
      </c>
      <c r="B9" s="19" t="inlineStr">
        <is>
          <t>us-gaap_DepreciationAmortizationAndAccretionNet</t>
        </is>
      </c>
      <c r="C9" s="20">
        <f>723860000.0/Summary!$B$3</f>
        <v/>
      </c>
      <c r="D9" s="21" t="n"/>
      <c r="E9" s="22">
        <f>IF(OR(D9="",C9=""),"",IF(D9=0,IF(C9=0,0,1),(C9-D9)/ABS(D9)))</f>
        <v/>
      </c>
      <c r="F9" s="23">
        <f>IF(E9="","",IF(ABS(E9)&lt;=Summary!$B$4,1,0))</f>
        <v/>
      </c>
      <c r="G9" s="20">
        <f>715348000.0/Summary!$B$3</f>
        <v/>
      </c>
      <c r="H9" s="21" t="n"/>
      <c r="I9" s="22">
        <f>IF(OR(H9="",G9=""),"",IF(H9=0,IF(G9=0,0,1),(G9-H9)/ABS(H9)))</f>
        <v/>
      </c>
      <c r="J9" s="23">
        <f>IF(I9="","",IF(ABS(I9)&lt;=Summary!$B$4,1,0))</f>
        <v/>
      </c>
      <c r="K9" s="24" t="n"/>
      <c r="L9" s="25" t="n"/>
      <c r="M9" s="13" t="inlineStr">
        <is>
          <t>cashflow:3</t>
        </is>
      </c>
    </row>
    <row r="10">
      <c r="A10" s="18" t="inlineStr">
        <is>
          <t>Impairment charges</t>
        </is>
      </c>
      <c r="B10" s="19" t="inlineStr">
        <is>
          <t>us-gaap_GoodwillAndIntangibleAssetImpairment</t>
        </is>
      </c>
      <c r="C10" s="20">
        <f>0.0/Summary!$B$3</f>
        <v/>
      </c>
      <c r="D10" s="21" t="n"/>
      <c r="E10" s="22">
        <f>IF(OR(D10="",C10=""),"",IF(D10=0,IF(C10=0,0,1),(C10-D10)/ABS(D10)))</f>
        <v/>
      </c>
      <c r="F10" s="23">
        <f>IF(E10="","",IF(ABS(E10)&lt;=Summary!$B$4,1,0))</f>
        <v/>
      </c>
      <c r="G10" s="20">
        <f>0.0/Summary!$B$3</f>
        <v/>
      </c>
      <c r="H10" s="21" t="n"/>
      <c r="I10" s="22">
        <f>IF(OR(H10="",G10=""),"",IF(H10=0,IF(G10=0,0,1),(G10-H10)/ABS(H10)))</f>
        <v/>
      </c>
      <c r="J10" s="23">
        <f>IF(I10="","",IF(ABS(I10)&lt;=Summary!$B$4,1,0))</f>
        <v/>
      </c>
      <c r="K10" s="24" t="n"/>
      <c r="L10" s="25" t="n"/>
      <c r="M10" s="13" t="inlineStr">
        <is>
          <t>cashflow:4</t>
        </is>
      </c>
    </row>
    <row r="11">
      <c r="A11" s="18" t="inlineStr">
        <is>
          <t>Loss on extinguishment of debt</t>
        </is>
      </c>
      <c r="B11" s="19" t="inlineStr">
        <is>
          <t>dva_LossOnExtinguishmentOfDebt</t>
        </is>
      </c>
      <c r="C11" s="20">
        <f>12527000.0/Summary!$B$3</f>
        <v/>
      </c>
      <c r="D11" s="21" t="n"/>
      <c r="E11" s="22">
        <f>IF(OR(D11="",C11=""),"",IF(D11=0,IF(C11=0,0,1),(C11-D11)/ABS(D11)))</f>
        <v/>
      </c>
      <c r="F11" s="23">
        <f>IF(E11="","",IF(ABS(E11)&lt;=Summary!$B$4,1,0))</f>
        <v/>
      </c>
      <c r="G11" s="20">
        <f>12386000.0/Summary!$B$3</f>
        <v/>
      </c>
      <c r="H11" s="21" t="n"/>
      <c r="I11" s="22">
        <f>IF(OR(H11="",G11=""),"",IF(H11=0,IF(G11=0,0,1),(G11-H11)/ABS(H11)))</f>
        <v/>
      </c>
      <c r="J11" s="23">
        <f>IF(I11="","",IF(ABS(I11)&lt;=Summary!$B$4,1,0))</f>
        <v/>
      </c>
      <c r="K11" s="24" t="n"/>
      <c r="L11" s="25" t="n"/>
      <c r="M11" s="13" t="inlineStr">
        <is>
          <t>cashflow:5</t>
        </is>
      </c>
    </row>
    <row r="12">
      <c r="A12" s="18" t="inlineStr">
        <is>
          <t>Stock-based compensation expense</t>
        </is>
      </c>
      <c r="B12" s="19" t="inlineStr">
        <is>
          <t>us-gaap_ShareBasedCompensation</t>
        </is>
      </c>
      <c r="C12" s="20">
        <f>102788000.0/Summary!$B$3</f>
        <v/>
      </c>
      <c r="D12" s="21" t="n"/>
      <c r="E12" s="22">
        <f>IF(OR(D12="",C12=""),"",IF(D12=0,IF(C12=0,0,1),(C12-D12)/ABS(D12)))</f>
        <v/>
      </c>
      <c r="F12" s="23">
        <f>IF(E12="","",IF(ABS(E12)&lt;=Summary!$B$4,1,0))</f>
        <v/>
      </c>
      <c r="G12" s="20">
        <f>139953000.0/Summary!$B$3</f>
        <v/>
      </c>
      <c r="H12" s="21" t="n"/>
      <c r="I12" s="22">
        <f>IF(OR(H12="",G12=""),"",IF(H12=0,IF(G12=0,0,1),(G12-H12)/ABS(H12)))</f>
        <v/>
      </c>
      <c r="J12" s="23">
        <f>IF(I12="","",IF(ABS(I12)&lt;=Summary!$B$4,1,0))</f>
        <v/>
      </c>
      <c r="K12" s="24" t="n"/>
      <c r="L12" s="25" t="n"/>
      <c r="M12" s="13" t="inlineStr">
        <is>
          <t>cashflow:6</t>
        </is>
      </c>
    </row>
    <row r="13">
      <c r="A13" s="18" t="inlineStr">
        <is>
          <t>Deferred income taxes</t>
        </is>
      </c>
      <c r="B13" s="19" t="inlineStr">
        <is>
          <t>us-gaap_DeferredIncomeTaxExpenseBenefit</t>
        </is>
      </c>
      <c r="C13" s="20">
        <f>-57840000.0/Summary!$B$3</f>
        <v/>
      </c>
      <c r="D13" s="21" t="n"/>
      <c r="E13" s="22">
        <f>IF(OR(D13="",C13=""),"",IF(D13=0,IF(C13=0,0,1),(C13-D13)/ABS(D13)))</f>
        <v/>
      </c>
      <c r="F13" s="23">
        <f>IF(E13="","",IF(ABS(E13)&lt;=Summary!$B$4,1,0))</f>
        <v/>
      </c>
      <c r="G13" s="20">
        <f>86574000.0/Summary!$B$3</f>
        <v/>
      </c>
      <c r="H13" s="21" t="n"/>
      <c r="I13" s="22">
        <f>IF(OR(H13="",G13=""),"",IF(H13=0,IF(G13=0,0,1),(G13-H13)/ABS(H13)))</f>
        <v/>
      </c>
      <c r="J13" s="23">
        <f>IF(I13="","",IF(ABS(I13)&lt;=Summary!$B$4,1,0))</f>
        <v/>
      </c>
      <c r="K13" s="24" t="n"/>
      <c r="L13" s="25" t="n"/>
      <c r="M13" s="13" t="inlineStr">
        <is>
          <t>cashflow:7</t>
        </is>
      </c>
    </row>
    <row r="14">
      <c r="A14" s="18" t="inlineStr">
        <is>
          <t>Equity investment loss, net</t>
        </is>
      </c>
      <c r="B14" s="19" t="inlineStr">
        <is>
          <t>dva_AdjustmentIncomeLossFromEquityMethodInvestments</t>
        </is>
      </c>
      <c r="C14" s="20">
        <f>115839000.0/Summary!$B$3</f>
        <v/>
      </c>
      <c r="D14" s="21" t="n"/>
      <c r="E14" s="22">
        <f>IF(OR(D14="",C14=""),"",IF(D14=0,IF(C14=0,0,1),(C14-D14)/ABS(D14)))</f>
        <v/>
      </c>
      <c r="F14" s="23">
        <f>IF(E14="","",IF(ABS(E14)&lt;=Summary!$B$4,1,0))</f>
        <v/>
      </c>
      <c r="G14" s="20">
        <f>134313000.0/Summary!$B$3</f>
        <v/>
      </c>
      <c r="H14" s="21" t="n"/>
      <c r="I14" s="22">
        <f>IF(OR(H14="",G14=""),"",IF(H14=0,IF(G14=0,0,1),(G14-H14)/ABS(H14)))</f>
        <v/>
      </c>
      <c r="J14" s="23">
        <f>IF(I14="","",IF(ABS(I14)&lt;=Summary!$B$4,1,0))</f>
        <v/>
      </c>
      <c r="K14" s="24" t="n"/>
      <c r="L14" s="25" t="n"/>
      <c r="M14" s="13" t="inlineStr">
        <is>
          <t>cashflow:8</t>
        </is>
      </c>
    </row>
    <row r="15">
      <c r="A15" s="18" t="inlineStr">
        <is>
          <t>Gain on changes in ownership interests</t>
        </is>
      </c>
      <c r="B15" s="19" t="inlineStr">
        <is>
          <t>us-gaap_BusinessCombinationStepAcquisitionEquityInterestInAcquireeRemeasurementGain</t>
        </is>
      </c>
      <c r="C15" s="20">
        <f>-109466000.0/Summary!$B$3</f>
        <v/>
      </c>
      <c r="D15" s="21" t="n"/>
      <c r="E15" s="22">
        <f>IF(OR(D15="",C15=""),"",IF(D15=0,IF(C15=0,0,1),(C15-D15)/ABS(D15)))</f>
        <v/>
      </c>
      <c r="F15" s="23">
        <f>IF(E15="","",IF(ABS(E15)&lt;=Summary!$B$4,1,0))</f>
        <v/>
      </c>
      <c r="G15" s="20">
        <f>0.0/Summary!$B$3</f>
        <v/>
      </c>
      <c r="H15" s="21" t="n"/>
      <c r="I15" s="22">
        <f>IF(OR(H15="",G15=""),"",IF(H15=0,IF(G15=0,0,1),(G15-H15)/ABS(H15)))</f>
        <v/>
      </c>
      <c r="J15" s="23">
        <f>IF(I15="","",IF(ABS(I15)&lt;=Summary!$B$4,1,0))</f>
        <v/>
      </c>
      <c r="K15" s="24" t="n"/>
      <c r="L15" s="25" t="n"/>
      <c r="M15" s="13" t="inlineStr">
        <is>
          <t>cashflow:9</t>
        </is>
      </c>
    </row>
    <row r="16">
      <c r="A16" s="18" t="inlineStr">
        <is>
          <t>Other non-cash (gains) and losses, net</t>
        </is>
      </c>
      <c r="B16" s="19" t="inlineStr">
        <is>
          <t>us-gaap_OtherNoncashIncomeExpense</t>
        </is>
      </c>
      <c r="C16" s="20">
        <f>13414000.0/Summary!$B$3</f>
        <v/>
      </c>
      <c r="D16" s="21" t="n"/>
      <c r="E16" s="22">
        <f>IF(OR(D16="",C16=""),"",IF(D16=0,IF(C16=0,0,1),(C16-D16)/ABS(D16)))</f>
        <v/>
      </c>
      <c r="F16" s="23">
        <f>IF(E16="","",IF(ABS(E16)&lt;=Summary!$B$4,1,0))</f>
        <v/>
      </c>
      <c r="G16" s="20">
        <f>-17549000.0/Summary!$B$3</f>
        <v/>
      </c>
      <c r="H16" s="21" t="n"/>
      <c r="I16" s="22">
        <f>IF(OR(H16="",G16=""),"",IF(H16=0,IF(G16=0,0,1),(G16-H16)/ABS(H16)))</f>
        <v/>
      </c>
      <c r="J16" s="23">
        <f>IF(I16="","",IF(ABS(I16)&lt;=Summary!$B$4,1,0))</f>
        <v/>
      </c>
      <c r="K16" s="24" t="n"/>
      <c r="L16" s="25" t="n"/>
      <c r="M16" s="13" t="inlineStr">
        <is>
          <t>cashflow:10</t>
        </is>
      </c>
    </row>
    <row r="17">
      <c r="A17" s="17" t="inlineStr">
        <is>
          <t>Changes in operating assets and liabilities, net of effect of acquisitions and divestitures:</t>
        </is>
      </c>
    </row>
    <row r="18">
      <c r="A18" s="18" t="inlineStr">
        <is>
          <t>Accounts receivable</t>
        </is>
      </c>
      <c r="B18" s="19" t="inlineStr">
        <is>
          <t>us-gaap_IncreaseDecreaseInAccountsReceivable</t>
        </is>
      </c>
      <c r="C18" s="20">
        <f>-29766000.0/Summary!$B$3</f>
        <v/>
      </c>
      <c r="D18" s="21" t="n"/>
      <c r="E18" s="22">
        <f>IF(OR(D18="",C18=""),"",IF(D18=0,IF(C18=0,0,1),(C18-D18)/ABS(D18)))</f>
        <v/>
      </c>
      <c r="F18" s="23">
        <f>IF(E18="","",IF(ABS(E18)&lt;=Summary!$B$4,1,0))</f>
        <v/>
      </c>
      <c r="G18" s="20">
        <f>-210632000.0/Summary!$B$3</f>
        <v/>
      </c>
      <c r="H18" s="21" t="n"/>
      <c r="I18" s="22">
        <f>IF(OR(H18="",G18=""),"",IF(H18=0,IF(G18=0,0,1),(G18-H18)/ABS(H18)))</f>
        <v/>
      </c>
      <c r="J18" s="23">
        <f>IF(I18="","",IF(ABS(I18)&lt;=Summary!$B$4,1,0))</f>
        <v/>
      </c>
      <c r="K18" s="24" t="n"/>
      <c r="L18" s="25" t="n"/>
      <c r="M18" s="13" t="inlineStr">
        <is>
          <t>cashflow:12</t>
        </is>
      </c>
    </row>
    <row r="19">
      <c r="A19" s="18" t="inlineStr">
        <is>
          <t>Inventories</t>
        </is>
      </c>
      <c r="B19" s="19" t="inlineStr">
        <is>
          <t>us-gaap_IncreaseDecreaseInInventories</t>
        </is>
      </c>
      <c r="C19" s="20">
        <f>17942000.0/Summary!$B$3</f>
        <v/>
      </c>
      <c r="D19" s="21" t="n"/>
      <c r="E19" s="22">
        <f>IF(OR(D19="",C19=""),"",IF(D19=0,IF(C19=0,0,1),(C19-D19)/ABS(D19)))</f>
        <v/>
      </c>
      <c r="F19" s="23">
        <f>IF(E19="","",IF(ABS(E19)&lt;=Summary!$B$4,1,0))</f>
        <v/>
      </c>
      <c r="G19" s="20">
        <f>-19950000.0/Summary!$B$3</f>
        <v/>
      </c>
      <c r="H19" s="21" t="n"/>
      <c r="I19" s="22">
        <f>IF(OR(H19="",G19=""),"",IF(H19=0,IF(G19=0,0,1),(G19-H19)/ABS(H19)))</f>
        <v/>
      </c>
      <c r="J19" s="23">
        <f>IF(I19="","",IF(ABS(I19)&lt;=Summary!$B$4,1,0))</f>
        <v/>
      </c>
      <c r="K19" s="24" t="n"/>
      <c r="L19" s="25" t="n"/>
      <c r="M19" s="13" t="inlineStr">
        <is>
          <t>cashflow:13</t>
        </is>
      </c>
    </row>
    <row r="20">
      <c r="A20" s="18" t="inlineStr">
        <is>
          <t>Other current assets</t>
        </is>
      </c>
      <c r="B20" s="19" t="inlineStr">
        <is>
          <t>dva_IncreaseDecreaseInOtherCurrentReceivablesAndOtherCurrentAssets</t>
        </is>
      </c>
      <c r="C20" s="20">
        <f>36801000.0/Summary!$B$3</f>
        <v/>
      </c>
      <c r="D20" s="21" t="n"/>
      <c r="E20" s="22">
        <f>IF(OR(D20="",C20=""),"",IF(D20=0,IF(C20=0,0,1),(C20-D20)/ABS(D20)))</f>
        <v/>
      </c>
      <c r="F20" s="23">
        <f>IF(E20="","",IF(ABS(E20)&lt;=Summary!$B$4,1,0))</f>
        <v/>
      </c>
      <c r="G20" s="20">
        <f>-124297000.0/Summary!$B$3</f>
        <v/>
      </c>
      <c r="H20" s="21" t="n"/>
      <c r="I20" s="22">
        <f>IF(OR(H20="",G20=""),"",IF(H20=0,IF(G20=0,0,1),(G20-H20)/ABS(H20)))</f>
        <v/>
      </c>
      <c r="J20" s="23">
        <f>IF(I20="","",IF(ABS(I20)&lt;=Summary!$B$4,1,0))</f>
        <v/>
      </c>
      <c r="K20" s="24" t="n"/>
      <c r="L20" s="25" t="n"/>
      <c r="M20" s="13" t="inlineStr">
        <is>
          <t>cashflow:14</t>
        </is>
      </c>
    </row>
    <row r="21">
      <c r="A21" s="18" t="inlineStr">
        <is>
          <t>Other long-term assets</t>
        </is>
      </c>
      <c r="B21" s="19" t="inlineStr">
        <is>
          <t>us-gaap_IncreaseDecreaseInOtherNoncurrentAssets</t>
        </is>
      </c>
      <c r="C21" s="20">
        <f>-67031000.0/Summary!$B$3</f>
        <v/>
      </c>
      <c r="D21" s="21" t="n"/>
      <c r="E21" s="22">
        <f>IF(OR(D21="",C21=""),"",IF(D21=0,IF(C21=0,0,1),(C21-D21)/ABS(D21)))</f>
        <v/>
      </c>
      <c r="F21" s="23">
        <f>IF(E21="","",IF(ABS(E21)&lt;=Summary!$B$4,1,0))</f>
        <v/>
      </c>
      <c r="G21" s="20">
        <f>-40253000.0/Summary!$B$3</f>
        <v/>
      </c>
      <c r="H21" s="21" t="n"/>
      <c r="I21" s="22">
        <f>IF(OR(H21="",G21=""),"",IF(H21=0,IF(G21=0,0,1),(G21-H21)/ABS(H21)))</f>
        <v/>
      </c>
      <c r="J21" s="23">
        <f>IF(I21="","",IF(ABS(I21)&lt;=Summary!$B$4,1,0))</f>
        <v/>
      </c>
      <c r="K21" s="24" t="n"/>
      <c r="L21" s="25" t="n"/>
      <c r="M21" s="13" t="inlineStr">
        <is>
          <t>cashflow:15</t>
        </is>
      </c>
    </row>
    <row r="22">
      <c r="A22" s="18" t="inlineStr">
        <is>
          <t>Accounts payable</t>
        </is>
      </c>
      <c r="B22" s="19" t="inlineStr">
        <is>
          <t>us-gaap_IncreaseDecreaseInAccountsPayable</t>
        </is>
      </c>
      <c r="C22" s="20">
        <f>1699000.0/Summary!$B$3</f>
        <v/>
      </c>
      <c r="D22" s="21" t="n"/>
      <c r="E22" s="22">
        <f>IF(OR(D22="",C22=""),"",IF(D22=0,IF(C22=0,0,1),(C22-D22)/ABS(D22)))</f>
        <v/>
      </c>
      <c r="F22" s="23">
        <f>IF(E22="","",IF(ABS(E22)&lt;=Summary!$B$4,1,0))</f>
        <v/>
      </c>
      <c r="G22" s="20">
        <f>128303000.0/Summary!$B$3</f>
        <v/>
      </c>
      <c r="H22" s="21" t="n"/>
      <c r="I22" s="22">
        <f>IF(OR(H22="",G22=""),"",IF(H22=0,IF(G22=0,0,1),(G22-H22)/ABS(H22)))</f>
        <v/>
      </c>
      <c r="J22" s="23">
        <f>IF(I22="","",IF(ABS(I22)&lt;=Summary!$B$4,1,0))</f>
        <v/>
      </c>
      <c r="K22" s="24" t="n"/>
      <c r="L22" s="25" t="n"/>
      <c r="M22" s="13" t="inlineStr">
        <is>
          <t>cashflow:16</t>
        </is>
      </c>
    </row>
    <row r="23">
      <c r="A23" s="18" t="inlineStr">
        <is>
          <t>Accrued compensation and benefits</t>
        </is>
      </c>
      <c r="B23" s="19" t="inlineStr">
        <is>
          <t>us-gaap_IncreaseDecreaseInEmployeeRelatedLiabilities</t>
        </is>
      </c>
      <c r="C23" s="20">
        <f>14687000.0/Summary!$B$3</f>
        <v/>
      </c>
      <c r="D23" s="21" t="n"/>
      <c r="E23" s="22">
        <f>IF(OR(D23="",C23=""),"",IF(D23=0,IF(C23=0,0,1),(C23-D23)/ABS(D23)))</f>
        <v/>
      </c>
      <c r="F23" s="23">
        <f>IF(E23="","",IF(ABS(E23)&lt;=Summary!$B$4,1,0))</f>
        <v/>
      </c>
      <c r="G23" s="20">
        <f>-24042000.0/Summary!$B$3</f>
        <v/>
      </c>
      <c r="H23" s="21" t="n"/>
      <c r="I23" s="22">
        <f>IF(OR(H23="",G23=""),"",IF(H23=0,IF(G23=0,0,1),(G23-H23)/ABS(H23)))</f>
        <v/>
      </c>
      <c r="J23" s="23">
        <f>IF(I23="","",IF(ABS(I23)&lt;=Summary!$B$4,1,0))</f>
        <v/>
      </c>
      <c r="K23" s="24" t="n"/>
      <c r="L23" s="25" t="n"/>
      <c r="M23" s="13" t="inlineStr">
        <is>
          <t>cashflow:17</t>
        </is>
      </c>
    </row>
    <row r="24">
      <c r="A24" s="18" t="inlineStr">
        <is>
          <t>Other current liabilities</t>
        </is>
      </c>
      <c r="B24" s="19" t="inlineStr">
        <is>
          <t>us-gaap_IncreaseDecreaseInOtherCurrentLiabilities</t>
        </is>
      </c>
      <c r="C24" s="20">
        <f>46733000.0/Summary!$B$3</f>
        <v/>
      </c>
      <c r="D24" s="21" t="n"/>
      <c r="E24" s="22">
        <f>IF(OR(D24="",C24=""),"",IF(D24=0,IF(C24=0,0,1),(C24-D24)/ABS(D24)))</f>
        <v/>
      </c>
      <c r="F24" s="23">
        <f>IF(E24="","",IF(ABS(E24)&lt;=Summary!$B$4,1,0))</f>
        <v/>
      </c>
      <c r="G24" s="20">
        <f>-29963000.0/Summary!$B$3</f>
        <v/>
      </c>
      <c r="H24" s="21" t="n"/>
      <c r="I24" s="22">
        <f>IF(OR(H24="",G24=""),"",IF(H24=0,IF(G24=0,0,1),(G24-H24)/ABS(H24)))</f>
        <v/>
      </c>
      <c r="J24" s="23">
        <f>IF(I24="","",IF(ABS(I24)&lt;=Summary!$B$4,1,0))</f>
        <v/>
      </c>
      <c r="K24" s="24" t="n"/>
      <c r="L24" s="25" t="n"/>
      <c r="M24" s="13" t="inlineStr">
        <is>
          <t>cashflow:18</t>
        </is>
      </c>
    </row>
    <row r="25">
      <c r="A25" s="18" t="inlineStr">
        <is>
          <t>Income taxes</t>
        </is>
      </c>
      <c r="B25" s="19" t="inlineStr">
        <is>
          <t>us-gaap_IncreaseDecreaseInAccruedIncomeTaxesPayable</t>
        </is>
      </c>
      <c r="C25" s="20">
        <f>-44214000.0/Summary!$B$3</f>
        <v/>
      </c>
      <c r="D25" s="21" t="n"/>
      <c r="E25" s="22">
        <f>IF(OR(D25="",C25=""),"",IF(D25=0,IF(C25=0,0,1),(C25-D25)/ABS(D25)))</f>
        <v/>
      </c>
      <c r="F25" s="23">
        <f>IF(E25="","",IF(ABS(E25)&lt;=Summary!$B$4,1,0))</f>
        <v/>
      </c>
      <c r="G25" s="20">
        <f>50245000.0/Summary!$B$3</f>
        <v/>
      </c>
      <c r="H25" s="21" t="n"/>
      <c r="I25" s="22">
        <f>IF(OR(H25="",G25=""),"",IF(H25=0,IF(G25=0,0,1),(G25-H25)/ABS(H25)))</f>
        <v/>
      </c>
      <c r="J25" s="23">
        <f>IF(I25="","",IF(ABS(I25)&lt;=Summary!$B$4,1,0))</f>
        <v/>
      </c>
      <c r="K25" s="24" t="n"/>
      <c r="L25" s="25" t="n"/>
      <c r="M25" s="13" t="inlineStr">
        <is>
          <t>cashflow:19</t>
        </is>
      </c>
    </row>
    <row r="26">
      <c r="A26" s="18" t="inlineStr">
        <is>
          <t>Other long-term liabilities</t>
        </is>
      </c>
      <c r="B26" s="19" t="inlineStr">
        <is>
          <t>us-gaap_IncreaseDecreaseInOtherNoncurrentLiabilities</t>
        </is>
      </c>
      <c r="C26" s="20">
        <f>-6672000.0/Summary!$B$3</f>
        <v/>
      </c>
      <c r="D26" s="21" t="n"/>
      <c r="E26" s="22">
        <f>IF(OR(D26="",C26=""),"",IF(D26=0,IF(C26=0,0,1),(C26-D26)/ABS(D26)))</f>
        <v/>
      </c>
      <c r="F26" s="23">
        <f>IF(E26="","",IF(ABS(E26)&lt;=Summary!$B$4,1,0))</f>
        <v/>
      </c>
      <c r="G26" s="20">
        <f>7348000.0/Summary!$B$3</f>
        <v/>
      </c>
      <c r="H26" s="21" t="n"/>
      <c r="I26" s="22">
        <f>IF(OR(H26="",G26=""),"",IF(H26=0,IF(G26=0,0,1),(G26-H26)/ABS(H26)))</f>
        <v/>
      </c>
      <c r="J26" s="23">
        <f>IF(I26="","",IF(ABS(I26)&lt;=Summary!$B$4,1,0))</f>
        <v/>
      </c>
      <c r="K26" s="24" t="n"/>
      <c r="L26" s="25" t="n"/>
      <c r="M26" s="13" t="inlineStr">
        <is>
          <t>cashflow:20</t>
        </is>
      </c>
    </row>
    <row r="27">
      <c r="A27" s="26" t="inlineStr">
        <is>
          <t>Net Cash Provided by (Used in) Operating Activities, Total</t>
        </is>
      </c>
      <c r="B27" s="19" t="inlineStr">
        <is>
          <t>us-gaap_NetCashProvidedByUsedInOperatingActivities</t>
        </is>
      </c>
      <c r="C27" s="20">
        <f>2022038000.0/Summary!$B$3</f>
        <v/>
      </c>
      <c r="D27" s="21" t="n"/>
      <c r="E27" s="22">
        <f>IF(OR(D27="",C27=""),"",IF(D27=0,IF(C27=0,0,1),(C27-D27)/ABS(D27)))</f>
        <v/>
      </c>
      <c r="F27" s="23">
        <f>IF(E27="","",IF(ABS(E27)&lt;=Summary!$B$4,1,0))</f>
        <v/>
      </c>
      <c r="G27" s="20">
        <f>1886500000.0/Summary!$B$3</f>
        <v/>
      </c>
      <c r="H27" s="21" t="n"/>
      <c r="I27" s="22">
        <f>IF(OR(H27="",G27=""),"",IF(H27=0,IF(G27=0,0,1),(G27-H27)/ABS(H27)))</f>
        <v/>
      </c>
      <c r="J27" s="23">
        <f>IF(I27="","",IF(ABS(I27)&lt;=Summary!$B$4,1,0))</f>
        <v/>
      </c>
      <c r="K27" s="24" t="n"/>
      <c r="L27" s="25" t="n"/>
      <c r="M27" s="13" t="inlineStr">
        <is>
          <t>cashflow:21</t>
        </is>
      </c>
    </row>
    <row r="28">
      <c r="A28" s="17" t="inlineStr">
        <is>
          <t>Cash flows from investing activities:</t>
        </is>
      </c>
    </row>
    <row r="29">
      <c r="A29" s="18" t="inlineStr">
        <is>
          <t>Additions of property and equipment</t>
        </is>
      </c>
      <c r="B29" s="19" t="inlineStr">
        <is>
          <t>us-gaap_PaymentsToAcquirePropertyPlantAndEquipment</t>
        </is>
      </c>
      <c r="C29" s="20">
        <f>-555443000.0/Summary!$B$3</f>
        <v/>
      </c>
      <c r="D29" s="21" t="n"/>
      <c r="E29" s="22">
        <f>IF(OR(D29="",C29=""),"",IF(D29=0,IF(C29=0,0,1),(C29-D29)/ABS(D29)))</f>
        <v/>
      </c>
      <c r="F29" s="23">
        <f>IF(E29="","",IF(ABS(E29)&lt;=Summary!$B$4,1,0))</f>
        <v/>
      </c>
      <c r="G29" s="20">
        <f>-575864000.0/Summary!$B$3</f>
        <v/>
      </c>
      <c r="H29" s="21" t="n"/>
      <c r="I29" s="22">
        <f>IF(OR(H29="",G29=""),"",IF(H29=0,IF(G29=0,0,1),(G29-H29)/ABS(H29)))</f>
        <v/>
      </c>
      <c r="J29" s="23">
        <f>IF(I29="","",IF(ABS(I29)&lt;=Summary!$B$4,1,0))</f>
        <v/>
      </c>
      <c r="K29" s="24" t="n"/>
      <c r="L29" s="25" t="n"/>
      <c r="M29" s="13" t="inlineStr">
        <is>
          <t>cashflow:23</t>
        </is>
      </c>
    </row>
    <row r="30">
      <c r="A30" s="18" t="inlineStr">
        <is>
          <t>Acquisitions</t>
        </is>
      </c>
      <c r="B30" s="19" t="inlineStr">
        <is>
          <t>us-gaap_PaymentsToAcquireBusinessesNetOfCashAcquired</t>
        </is>
      </c>
      <c r="C30" s="20">
        <f>-246068000.0/Summary!$B$3</f>
        <v/>
      </c>
      <c r="D30" s="21" t="n"/>
      <c r="E30" s="22">
        <f>IF(OR(D30="",C30=""),"",IF(D30=0,IF(C30=0,0,1),(C30-D30)/ABS(D30)))</f>
        <v/>
      </c>
      <c r="F30" s="23">
        <f>IF(E30="","",IF(ABS(E30)&lt;=Summary!$B$4,1,0))</f>
        <v/>
      </c>
      <c r="G30" s="20">
        <f>-117468000.0/Summary!$B$3</f>
        <v/>
      </c>
      <c r="H30" s="21" t="n"/>
      <c r="I30" s="22">
        <f>IF(OR(H30="",G30=""),"",IF(H30=0,IF(G30=0,0,1),(G30-H30)/ABS(H30)))</f>
        <v/>
      </c>
      <c r="J30" s="23">
        <f>IF(I30="","",IF(ABS(I30)&lt;=Summary!$B$4,1,0))</f>
        <v/>
      </c>
      <c r="K30" s="24" t="n"/>
      <c r="L30" s="25" t="n"/>
      <c r="M30" s="13" t="inlineStr">
        <is>
          <t>cashflow:24</t>
        </is>
      </c>
    </row>
    <row r="31">
      <c r="A31" s="18" t="inlineStr">
        <is>
          <t>Proceeds from asset and business sales</t>
        </is>
      </c>
      <c r="B31" s="19" t="inlineStr">
        <is>
          <t>us-gaap_ProceedsFromSalesOfBusinessAffiliateAndProductiveAssets</t>
        </is>
      </c>
      <c r="C31" s="20">
        <f>25862000.0/Summary!$B$3</f>
        <v/>
      </c>
      <c r="D31" s="21" t="n"/>
      <c r="E31" s="22">
        <f>IF(OR(D31="",C31=""),"",IF(D31=0,IF(C31=0,0,1),(C31-D31)/ABS(D31)))</f>
        <v/>
      </c>
      <c r="F31" s="23">
        <f>IF(E31="","",IF(ABS(E31)&lt;=Summary!$B$4,1,0))</f>
        <v/>
      </c>
      <c r="G31" s="20">
        <f>34173000.0/Summary!$B$3</f>
        <v/>
      </c>
      <c r="H31" s="21" t="n"/>
      <c r="I31" s="22">
        <f>IF(OR(H31="",G31=""),"",IF(H31=0,IF(G31=0,0,1),(G31-H31)/ABS(H31)))</f>
        <v/>
      </c>
      <c r="J31" s="23">
        <f>IF(I31="","",IF(ABS(I31)&lt;=Summary!$B$4,1,0))</f>
        <v/>
      </c>
      <c r="K31" s="24" t="n"/>
      <c r="L31" s="25" t="n"/>
      <c r="M31" s="13" t="inlineStr">
        <is>
          <t>cashflow:25</t>
        </is>
      </c>
    </row>
    <row r="32">
      <c r="A32" s="18" t="inlineStr">
        <is>
          <t>Purchase of debt investments held-to-maturity</t>
        </is>
      </c>
      <c r="B32" s="19" t="inlineStr">
        <is>
          <t>us-gaap_PaymentsToAcquireHeldToMaturitySecurities</t>
        </is>
      </c>
      <c r="C32" s="20">
        <f>-15319000.0/Summary!$B$3</f>
        <v/>
      </c>
      <c r="D32" s="21" t="n"/>
      <c r="E32" s="22">
        <f>IF(OR(D32="",C32=""),"",IF(D32=0,IF(C32=0,0,1),(C32-D32)/ABS(D32)))</f>
        <v/>
      </c>
      <c r="F32" s="23">
        <f>IF(E32="","",IF(ABS(E32)&lt;=Summary!$B$4,1,0))</f>
        <v/>
      </c>
      <c r="G32" s="20">
        <f>-16405000.0/Summary!$B$3</f>
        <v/>
      </c>
      <c r="H32" s="21" t="n"/>
      <c r="I32" s="22">
        <f>IF(OR(H32="",G32=""),"",IF(H32=0,IF(G32=0,0,1),(G32-H32)/ABS(H32)))</f>
        <v/>
      </c>
      <c r="J32" s="23">
        <f>IF(I32="","",IF(ABS(I32)&lt;=Summary!$B$4,1,0))</f>
        <v/>
      </c>
      <c r="K32" s="24" t="n"/>
      <c r="L32" s="25" t="n"/>
      <c r="M32" s="13" t="inlineStr">
        <is>
          <t>cashflow:26</t>
        </is>
      </c>
    </row>
    <row r="33">
      <c r="A33" s="18" t="inlineStr">
        <is>
          <t>Purchase of other debt and equity investments</t>
        </is>
      </c>
      <c r="B33" s="19" t="inlineStr">
        <is>
          <t>dva_PaymentsToAcquireOtherDebtAndEquityInvestments</t>
        </is>
      </c>
      <c r="C33" s="20">
        <f>-9140000.0/Summary!$B$3</f>
        <v/>
      </c>
      <c r="D33" s="21" t="n"/>
      <c r="E33" s="22">
        <f>IF(OR(D33="",C33=""),"",IF(D33=0,IF(C33=0,0,1),(C33-D33)/ABS(D33)))</f>
        <v/>
      </c>
      <c r="F33" s="23">
        <f>IF(E33="","",IF(ABS(E33)&lt;=Summary!$B$4,1,0))</f>
        <v/>
      </c>
      <c r="G33" s="20">
        <f>-6031000.0/Summary!$B$3</f>
        <v/>
      </c>
      <c r="H33" s="21" t="n"/>
      <c r="I33" s="22">
        <f>IF(OR(H33="",G33=""),"",IF(H33=0,IF(G33=0,0,1),(G33-H33)/ABS(H33)))</f>
        <v/>
      </c>
      <c r="J33" s="23">
        <f>IF(I33="","",IF(ABS(I33)&lt;=Summary!$B$4,1,0))</f>
        <v/>
      </c>
      <c r="K33" s="24" t="n"/>
      <c r="L33" s="25" t="n"/>
      <c r="M33" s="13" t="inlineStr">
        <is>
          <t>cashflow:27</t>
        </is>
      </c>
    </row>
    <row r="34">
      <c r="A34" s="18" t="inlineStr">
        <is>
          <t>Proceeds from debt investments held-to-maturity</t>
        </is>
      </c>
      <c r="B34" s="19" t="inlineStr">
        <is>
          <t>us-gaap_ProceedsFromSaleAndMaturityOfHeldToMaturitySecurities</t>
        </is>
      </c>
      <c r="C34" s="20">
        <f>22638000.0/Summary!$B$3</f>
        <v/>
      </c>
      <c r="D34" s="21" t="n"/>
      <c r="E34" s="22">
        <f>IF(OR(D34="",C34=""),"",IF(D34=0,IF(C34=0,0,1),(C34-D34)/ABS(D34)))</f>
        <v/>
      </c>
      <c r="F34" s="23">
        <f>IF(E34="","",IF(ABS(E34)&lt;=Summary!$B$4,1,0))</f>
        <v/>
      </c>
      <c r="G34" s="20">
        <f>45413000.0/Summary!$B$3</f>
        <v/>
      </c>
      <c r="H34" s="21" t="n"/>
      <c r="I34" s="22">
        <f>IF(OR(H34="",G34=""),"",IF(H34=0,IF(G34=0,0,1),(G34-H34)/ABS(H34)))</f>
        <v/>
      </c>
      <c r="J34" s="23">
        <f>IF(I34="","",IF(ABS(I34)&lt;=Summary!$B$4,1,0))</f>
        <v/>
      </c>
      <c r="K34" s="24" t="n"/>
      <c r="L34" s="25" t="n"/>
      <c r="M34" s="13" t="inlineStr">
        <is>
          <t>cashflow:28</t>
        </is>
      </c>
    </row>
    <row r="35">
      <c r="A35" s="18" t="inlineStr">
        <is>
          <t>Proceeds from sale of other debt and equity investments</t>
        </is>
      </c>
      <c r="B35" s="19" t="inlineStr">
        <is>
          <t>us-gaap_ProceedsFromSaleAndMaturityOfOtherInvestments</t>
        </is>
      </c>
      <c r="C35" s="20">
        <f>4566000.0/Summary!$B$3</f>
        <v/>
      </c>
      <c r="D35" s="21" t="n"/>
      <c r="E35" s="22">
        <f>IF(OR(D35="",C35=""),"",IF(D35=0,IF(C35=0,0,1),(C35-D35)/ABS(D35)))</f>
        <v/>
      </c>
      <c r="F35" s="23">
        <f>IF(E35="","",IF(ABS(E35)&lt;=Summary!$B$4,1,0))</f>
        <v/>
      </c>
      <c r="G35" s="20">
        <f>6723000.0/Summary!$B$3</f>
        <v/>
      </c>
      <c r="H35" s="21" t="n"/>
      <c r="I35" s="22">
        <f>IF(OR(H35="",G35=""),"",IF(H35=0,IF(G35=0,0,1),(G35-H35)/ABS(H35)))</f>
        <v/>
      </c>
      <c r="J35" s="23">
        <f>IF(I35="","",IF(ABS(I35)&lt;=Summary!$B$4,1,0))</f>
        <v/>
      </c>
      <c r="K35" s="24" t="n"/>
      <c r="L35" s="25" t="n"/>
      <c r="M35" s="13" t="inlineStr">
        <is>
          <t>cashflow:29</t>
        </is>
      </c>
    </row>
    <row r="36">
      <c r="A36" s="18" t="inlineStr">
        <is>
          <t>Purchase of equity method investments</t>
        </is>
      </c>
      <c r="B36" s="19" t="inlineStr">
        <is>
          <t>us-gaap_PaymentsToAcquireEquityMethodInvestments</t>
        </is>
      </c>
      <c r="C36" s="20">
        <f>-5205000.0/Summary!$B$3</f>
        <v/>
      </c>
      <c r="D36" s="21" t="n"/>
      <c r="E36" s="22">
        <f>IF(OR(D36="",C36=""),"",IF(D36=0,IF(C36=0,0,1),(C36-D36)/ABS(D36)))</f>
        <v/>
      </c>
      <c r="F36" s="23">
        <f>IF(E36="","",IF(ABS(E36)&lt;=Summary!$B$4,1,0))</f>
        <v/>
      </c>
      <c r="G36" s="20">
        <f>-27030000.0/Summary!$B$3</f>
        <v/>
      </c>
      <c r="H36" s="21" t="n"/>
      <c r="I36" s="22">
        <f>IF(OR(H36="",G36=""),"",IF(H36=0,IF(G36=0,0,1),(G36-H36)/ABS(H36)))</f>
        <v/>
      </c>
      <c r="J36" s="23">
        <f>IF(I36="","",IF(ABS(I36)&lt;=Summary!$B$4,1,0))</f>
        <v/>
      </c>
      <c r="K36" s="24" t="n"/>
      <c r="L36" s="25" t="n"/>
      <c r="M36" s="13" t="inlineStr">
        <is>
          <t>cashflow:30</t>
        </is>
      </c>
    </row>
    <row r="37">
      <c r="A37" s="18" t="inlineStr">
        <is>
          <t>Distributions from equity method investments</t>
        </is>
      </c>
      <c r="B37" s="19" t="inlineStr">
        <is>
          <t>us-gaap_ProceedsFromEquityMethodInvestmentDividendsOrDistributionsReturnOfCapital</t>
        </is>
      </c>
      <c r="C37" s="20">
        <f>6680000.0/Summary!$B$3</f>
        <v/>
      </c>
      <c r="D37" s="21" t="n"/>
      <c r="E37" s="22">
        <f>IF(OR(D37="",C37=""),"",IF(D37=0,IF(C37=0,0,1),(C37-D37)/ABS(D37)))</f>
        <v/>
      </c>
      <c r="F37" s="23">
        <f>IF(E37="","",IF(ABS(E37)&lt;=Summary!$B$4,1,0))</f>
        <v/>
      </c>
      <c r="G37" s="20">
        <f>1540000.0/Summary!$B$3</f>
        <v/>
      </c>
      <c r="H37" s="21" t="n"/>
      <c r="I37" s="22">
        <f>IF(OR(H37="",G37=""),"",IF(H37=0,IF(G37=0,0,1),(G37-H37)/ABS(H37)))</f>
        <v/>
      </c>
      <c r="J37" s="23">
        <f>IF(I37="","",IF(ABS(I37)&lt;=Summary!$B$4,1,0))</f>
        <v/>
      </c>
      <c r="K37" s="24" t="n"/>
      <c r="L37" s="25" t="n"/>
      <c r="M37" s="13" t="inlineStr">
        <is>
          <t>cashflow:31</t>
        </is>
      </c>
    </row>
    <row r="38">
      <c r="A38" s="26" t="inlineStr">
        <is>
          <t>Net Cash Provided by (Used in) Investing Activities, Total</t>
        </is>
      </c>
      <c r="B38" s="19" t="inlineStr">
        <is>
          <t>us-gaap_NetCashProvidedByUsedInInvestingActivities</t>
        </is>
      </c>
      <c r="C38" s="20">
        <f>-771429000.0/Summary!$B$3</f>
        <v/>
      </c>
      <c r="D38" s="21" t="n"/>
      <c r="E38" s="22">
        <f>IF(OR(D38="",C38=""),"",IF(D38=0,IF(C38=0,0,1),(C38-D38)/ABS(D38)))</f>
        <v/>
      </c>
      <c r="F38" s="23">
        <f>IF(E38="","",IF(ABS(E38)&lt;=Summary!$B$4,1,0))</f>
        <v/>
      </c>
      <c r="G38" s="20">
        <f>-654949000.0/Summary!$B$3</f>
        <v/>
      </c>
      <c r="H38" s="21" t="n"/>
      <c r="I38" s="22">
        <f>IF(OR(H38="",G38=""),"",IF(H38=0,IF(G38=0,0,1),(G38-H38)/ABS(H38)))</f>
        <v/>
      </c>
      <c r="J38" s="23">
        <f>IF(I38="","",IF(ABS(I38)&lt;=Summary!$B$4,1,0))</f>
        <v/>
      </c>
      <c r="K38" s="24" t="n"/>
      <c r="L38" s="25" t="n"/>
      <c r="M38" s="13" t="inlineStr">
        <is>
          <t>cashflow:32</t>
        </is>
      </c>
    </row>
    <row r="39">
      <c r="A39" s="17" t="inlineStr">
        <is>
          <t>Cash flows from financing activities:</t>
        </is>
      </c>
    </row>
    <row r="40">
      <c r="A40" s="18" t="inlineStr">
        <is>
          <t>Borrowings</t>
        </is>
      </c>
      <c r="B40" s="19" t="inlineStr">
        <is>
          <t>us-gaap_ProceedsFromIssuanceOfLongTermDebt</t>
        </is>
      </c>
      <c r="C40" s="20">
        <f>6624310000.0/Summary!$B$3</f>
        <v/>
      </c>
      <c r="D40" s="21" t="n"/>
      <c r="E40" s="22">
        <f>IF(OR(D40="",C40=""),"",IF(D40=0,IF(C40=0,0,1),(C40-D40)/ABS(D40)))</f>
        <v/>
      </c>
      <c r="F40" s="23">
        <f>IF(E40="","",IF(ABS(E40)&lt;=Summary!$B$4,1,0))</f>
        <v/>
      </c>
      <c r="G40" s="20">
        <f>5612280000.0/Summary!$B$3</f>
        <v/>
      </c>
      <c r="H40" s="21" t="n"/>
      <c r="I40" s="22">
        <f>IF(OR(H40="",G40=""),"",IF(H40=0,IF(G40=0,0,1),(G40-H40)/ABS(H40)))</f>
        <v/>
      </c>
      <c r="J40" s="23">
        <f>IF(I40="","",IF(ABS(I40)&lt;=Summary!$B$4,1,0))</f>
        <v/>
      </c>
      <c r="K40" s="24" t="n"/>
      <c r="L40" s="25" t="n"/>
      <c r="M40" s="13" t="inlineStr">
        <is>
          <t>cashflow:34</t>
        </is>
      </c>
    </row>
    <row r="41">
      <c r="A41" s="18" t="inlineStr">
        <is>
          <t>Payments on long-term debt</t>
        </is>
      </c>
      <c r="B41" s="19" t="inlineStr">
        <is>
          <t>us-gaap_RepaymentsOfDebtAndCapitalLeaseObligations</t>
        </is>
      </c>
      <c r="C41" s="20">
        <f>-5515213000.0/Summary!$B$3</f>
        <v/>
      </c>
      <c r="D41" s="21" t="n"/>
      <c r="E41" s="22">
        <f>IF(OR(D41="",C41=""),"",IF(D41=0,IF(C41=0,0,1),(C41-D41)/ABS(D41)))</f>
        <v/>
      </c>
      <c r="F41" s="23">
        <f>IF(E41="","",IF(ABS(E41)&lt;=Summary!$B$4,1,0))</f>
        <v/>
      </c>
      <c r="G41" s="20">
        <f>-4788845000.0/Summary!$B$3</f>
        <v/>
      </c>
      <c r="H41" s="21" t="n"/>
      <c r="I41" s="22">
        <f>IF(OR(H41="",G41=""),"",IF(H41=0,IF(G41=0,0,1),(G41-H41)/ABS(H41)))</f>
        <v/>
      </c>
      <c r="J41" s="23">
        <f>IF(I41="","",IF(ABS(I41)&lt;=Summary!$B$4,1,0))</f>
        <v/>
      </c>
      <c r="K41" s="24" t="n"/>
      <c r="L41" s="25" t="n"/>
      <c r="M41" s="13" t="inlineStr">
        <is>
          <t>cashflow:35</t>
        </is>
      </c>
    </row>
    <row r="42">
      <c r="A42" s="18" t="inlineStr">
        <is>
          <t>Deferred and debt related financing costs</t>
        </is>
      </c>
      <c r="B42" s="19" t="inlineStr">
        <is>
          <t>us-gaap_PaymentsOfFinancingCosts</t>
        </is>
      </c>
      <c r="C42" s="20">
        <f>-50874000.0/Summary!$B$3</f>
        <v/>
      </c>
      <c r="D42" s="21" t="n"/>
      <c r="E42" s="22">
        <f>IF(OR(D42="",C42=""),"",IF(D42=0,IF(C42=0,0,1),(C42-D42)/ABS(D42)))</f>
        <v/>
      </c>
      <c r="F42" s="23">
        <f>IF(E42="","",IF(ABS(E42)&lt;=Summary!$B$4,1,0))</f>
        <v/>
      </c>
      <c r="G42" s="20">
        <f>-53819000.0/Summary!$B$3</f>
        <v/>
      </c>
      <c r="H42" s="21" t="n"/>
      <c r="I42" s="22">
        <f>IF(OR(H42="",G42=""),"",IF(H42=0,IF(G42=0,0,1),(G42-H42)/ABS(H42)))</f>
        <v/>
      </c>
      <c r="J42" s="23">
        <f>IF(I42="","",IF(ABS(I42)&lt;=Summary!$B$4,1,0))</f>
        <v/>
      </c>
      <c r="K42" s="24" t="n"/>
      <c r="L42" s="25" t="n"/>
      <c r="M42" s="13" t="inlineStr">
        <is>
          <t>cashflow:36</t>
        </is>
      </c>
    </row>
    <row r="43">
      <c r="A43" s="18" t="inlineStr">
        <is>
          <t>Purchase Of Treasury Stock From Related Party</t>
        </is>
      </c>
      <c r="B43" s="19" t="inlineStr">
        <is>
          <t>dva_PurchaseOfTreasuryStockFromRelatedParty</t>
        </is>
      </c>
      <c r="C43" s="20">
        <f>0.0/Summary!$B$3</f>
        <v/>
      </c>
      <c r="D43" s="21" t="n"/>
      <c r="E43" s="22">
        <f>IF(OR(D43="",C43=""),"",IF(D43=0,IF(C43=0,0,1),(C43-D43)/ABS(D43)))</f>
        <v/>
      </c>
      <c r="F43" s="23">
        <f>IF(E43="","",IF(ABS(E43)&lt;=Summary!$B$4,1,0))</f>
        <v/>
      </c>
      <c r="G43" s="20">
        <f>-484633000.0/Summary!$B$3</f>
        <v/>
      </c>
      <c r="H43" s="21" t="n"/>
      <c r="I43" s="22">
        <f>IF(OR(H43="",G43=""),"",IF(H43=0,IF(G43=0,0,1),(G43-H43)/ABS(H43)))</f>
        <v/>
      </c>
      <c r="J43" s="23">
        <f>IF(I43="","",IF(ABS(I43)&lt;=Summary!$B$4,1,0))</f>
        <v/>
      </c>
      <c r="K43" s="24" t="n"/>
      <c r="L43" s="25" t="n"/>
      <c r="M43" s="13" t="inlineStr">
        <is>
          <t>cashflow:37</t>
        </is>
      </c>
    </row>
    <row r="44">
      <c r="A44" s="18" t="inlineStr">
        <is>
          <t>Purchase of treasury stock</t>
        </is>
      </c>
      <c r="B44" s="19" t="inlineStr">
        <is>
          <t>us-gaap_PaymentsForRepurchaseOfCommonStock</t>
        </is>
      </c>
      <c r="C44" s="20">
        <f>-1385932000.0/Summary!$B$3</f>
        <v/>
      </c>
      <c r="D44" s="21" t="n"/>
      <c r="E44" s="22">
        <f>IF(OR(D44="",C44=""),"",IF(D44=0,IF(C44=0,0,1),(C44-D44)/ABS(D44)))</f>
        <v/>
      </c>
      <c r="F44" s="23">
        <f>IF(E44="","",IF(ABS(E44)&lt;=Summary!$B$4,1,0))</f>
        <v/>
      </c>
      <c r="G44" s="20">
        <f>-1308366000.0/Summary!$B$3</f>
        <v/>
      </c>
      <c r="H44" s="21" t="n"/>
      <c r="I44" s="22">
        <f>IF(OR(H44="",G44=""),"",IF(H44=0,IF(G44=0,0,1),(G44-H44)/ABS(H44)))</f>
        <v/>
      </c>
      <c r="J44" s="23">
        <f>IF(I44="","",IF(ABS(I44)&lt;=Summary!$B$4,1,0))</f>
        <v/>
      </c>
      <c r="K44" s="24" t="n"/>
      <c r="L44" s="25" t="n"/>
      <c r="M44" s="13" t="inlineStr">
        <is>
          <t>cashflow:38</t>
        </is>
      </c>
    </row>
    <row r="45">
      <c r="A45" s="18" t="inlineStr">
        <is>
          <t>Distributions to noncontrolling interests</t>
        </is>
      </c>
      <c r="B45" s="19" t="inlineStr">
        <is>
          <t>us-gaap_PaymentsOfDistributionsToAffiliates</t>
        </is>
      </c>
      <c r="C45" s="20">
        <f>-337042000.0/Summary!$B$3</f>
        <v/>
      </c>
      <c r="D45" s="21" t="n"/>
      <c r="E45" s="22">
        <f>IF(OR(D45="",C45=""),"",IF(D45=0,IF(C45=0,0,1),(C45-D45)/ABS(D45)))</f>
        <v/>
      </c>
      <c r="F45" s="23">
        <f>IF(E45="","",IF(ABS(E45)&lt;=Summary!$B$4,1,0))</f>
        <v/>
      </c>
      <c r="G45" s="20">
        <f>-324270000.0/Summary!$B$3</f>
        <v/>
      </c>
      <c r="H45" s="21" t="n"/>
      <c r="I45" s="22">
        <f>IF(OR(H45="",G45=""),"",IF(H45=0,IF(G45=0,0,1),(G45-H45)/ABS(H45)))</f>
        <v/>
      </c>
      <c r="J45" s="23">
        <f>IF(I45="","",IF(ABS(I45)&lt;=Summary!$B$4,1,0))</f>
        <v/>
      </c>
      <c r="K45" s="24" t="n"/>
      <c r="L45" s="25" t="n"/>
      <c r="M45" s="13" t="inlineStr">
        <is>
          <t>cashflow:39</t>
        </is>
      </c>
    </row>
    <row r="46">
      <c r="A46" s="18" t="inlineStr">
        <is>
          <t>Net proceeds from issuance of common stock under employee stock plans</t>
        </is>
      </c>
      <c r="B46" s="19" t="inlineStr">
        <is>
          <t>dva_NetProceedsFromIssuanceOfStockToEmployees</t>
        </is>
      </c>
      <c r="C46" s="20">
        <f>20453000.0/Summary!$B$3</f>
        <v/>
      </c>
      <c r="D46" s="21" t="n"/>
      <c r="E46" s="22">
        <f>IF(OR(D46="",C46=""),"",IF(D46=0,IF(C46=0,0,1),(C46-D46)/ABS(D46)))</f>
        <v/>
      </c>
      <c r="F46" s="23">
        <f>IF(E46="","",IF(ABS(E46)&lt;=Summary!$B$4,1,0))</f>
        <v/>
      </c>
      <c r="G46" s="20">
        <f>23290000.0/Summary!$B$3</f>
        <v/>
      </c>
      <c r="H46" s="21" t="n"/>
      <c r="I46" s="22">
        <f>IF(OR(H46="",G46=""),"",IF(H46=0,IF(G46=0,0,1),(G46-H46)/ABS(H46)))</f>
        <v/>
      </c>
      <c r="J46" s="23">
        <f>IF(I46="","",IF(ABS(I46)&lt;=Summary!$B$4,1,0))</f>
        <v/>
      </c>
      <c r="K46" s="24" t="n"/>
      <c r="L46" s="25" t="n"/>
      <c r="M46" s="13" t="inlineStr">
        <is>
          <t>cashflow:40</t>
        </is>
      </c>
    </row>
    <row r="47">
      <c r="A47" s="18" t="inlineStr">
        <is>
          <t>Payment, Tax Withholding, Share-Based Payment Arrangement</t>
        </is>
      </c>
      <c r="B47" s="19" t="inlineStr">
        <is>
          <t>us-gaap_PaymentsRelatedToTaxWithholdingForShareBasedCompensation</t>
        </is>
      </c>
      <c r="C47" s="20">
        <f>-134040000.0/Summary!$B$3</f>
        <v/>
      </c>
      <c r="D47" s="21" t="n"/>
      <c r="E47" s="22">
        <f>IF(OR(D47="",C47=""),"",IF(D47=0,IF(C47=0,0,1),(C47-D47)/ABS(D47)))</f>
        <v/>
      </c>
      <c r="F47" s="23">
        <f>IF(E47="","",IF(ABS(E47)&lt;=Summary!$B$4,1,0))</f>
        <v/>
      </c>
      <c r="G47" s="20">
        <f>-35291000.0/Summary!$B$3</f>
        <v/>
      </c>
      <c r="H47" s="21" t="n"/>
      <c r="I47" s="22">
        <f>IF(OR(H47="",G47=""),"",IF(H47=0,IF(G47=0,0,1),(G47-H47)/ABS(H47)))</f>
        <v/>
      </c>
      <c r="J47" s="23">
        <f>IF(I47="","",IF(ABS(I47)&lt;=Summary!$B$4,1,0))</f>
        <v/>
      </c>
      <c r="K47" s="24" t="n"/>
      <c r="L47" s="25" t="n"/>
      <c r="M47" s="13" t="inlineStr">
        <is>
          <t>cashflow:41</t>
        </is>
      </c>
    </row>
    <row r="48">
      <c r="A48" s="18" t="inlineStr">
        <is>
          <t>Contributions from noncontrolling interests</t>
        </is>
      </c>
      <c r="B48" s="19" t="inlineStr">
        <is>
          <t>us-gaap_ProceedsFromContributionsFromAffiliates</t>
        </is>
      </c>
      <c r="C48" s="20">
        <f>14499000.0/Summary!$B$3</f>
        <v/>
      </c>
      <c r="D48" s="21" t="n"/>
      <c r="E48" s="22">
        <f>IF(OR(D48="",C48=""),"",IF(D48=0,IF(C48=0,0,1),(C48-D48)/ABS(D48)))</f>
        <v/>
      </c>
      <c r="F48" s="23">
        <f>IF(E48="","",IF(ABS(E48)&lt;=Summary!$B$4,1,0))</f>
        <v/>
      </c>
      <c r="G48" s="20">
        <f>7078000.0/Summary!$B$3</f>
        <v/>
      </c>
      <c r="H48" s="21" t="n"/>
      <c r="I48" s="22">
        <f>IF(OR(H48="",G48=""),"",IF(H48=0,IF(G48=0,0,1),(G48-H48)/ABS(H48)))</f>
        <v/>
      </c>
      <c r="J48" s="23">
        <f>IF(I48="","",IF(ABS(I48)&lt;=Summary!$B$4,1,0))</f>
        <v/>
      </c>
      <c r="K48" s="24" t="n"/>
      <c r="L48" s="25" t="n"/>
      <c r="M48" s="13" t="inlineStr">
        <is>
          <t>cashflow:42</t>
        </is>
      </c>
    </row>
    <row r="49">
      <c r="A49" s="18" t="inlineStr">
        <is>
          <t>Proceeds from sales of additional noncontrolling interests</t>
        </is>
      </c>
      <c r="B49" s="19" t="inlineStr">
        <is>
          <t>us-gaap_ProceedsFromMinorityShareholders</t>
        </is>
      </c>
      <c r="C49" s="20">
        <f>860000.0/Summary!$B$3</f>
        <v/>
      </c>
      <c r="D49" s="21" t="n"/>
      <c r="E49" s="22">
        <f>IF(OR(D49="",C49=""),"",IF(D49=0,IF(C49=0,0,1),(C49-D49)/ABS(D49)))</f>
        <v/>
      </c>
      <c r="F49" s="23">
        <f>IF(E49="","",IF(ABS(E49)&lt;=Summary!$B$4,1,0))</f>
        <v/>
      </c>
      <c r="G49" s="20">
        <f>3794000.0/Summary!$B$3</f>
        <v/>
      </c>
      <c r="H49" s="21" t="n"/>
      <c r="I49" s="22">
        <f>IF(OR(H49="",G49=""),"",IF(H49=0,IF(G49=0,0,1),(G49-H49)/ABS(H49)))</f>
        <v/>
      </c>
      <c r="J49" s="23">
        <f>IF(I49="","",IF(ABS(I49)&lt;=Summary!$B$4,1,0))</f>
        <v/>
      </c>
      <c r="K49" s="24" t="n"/>
      <c r="L49" s="25" t="n"/>
      <c r="M49" s="13" t="inlineStr">
        <is>
          <t>cashflow:43</t>
        </is>
      </c>
    </row>
    <row r="50">
      <c r="A50" s="18" t="inlineStr">
        <is>
          <t>Purchases of noncontrolling interests</t>
        </is>
      </c>
      <c r="B50" s="19" t="inlineStr">
        <is>
          <t>us-gaap_PaymentsToMinorityShareholders</t>
        </is>
      </c>
      <c r="C50" s="20">
        <f>-53958000.0/Summary!$B$3</f>
        <v/>
      </c>
      <c r="D50" s="21" t="n"/>
      <c r="E50" s="22">
        <f>IF(OR(D50="",C50=""),"",IF(D50=0,IF(C50=0,0,1),(C50-D50)/ABS(D50)))</f>
        <v/>
      </c>
      <c r="F50" s="23">
        <f>IF(E50="","",IF(ABS(E50)&lt;=Summary!$B$4,1,0))</f>
        <v/>
      </c>
      <c r="G50" s="20">
        <f>-25998000.0/Summary!$B$3</f>
        <v/>
      </c>
      <c r="H50" s="21" t="n"/>
      <c r="I50" s="22">
        <f>IF(OR(H50="",G50=""),"",IF(H50=0,IF(G50=0,0,1),(G50-H50)/ABS(H50)))</f>
        <v/>
      </c>
      <c r="J50" s="23">
        <f>IF(I50="","",IF(ABS(I50)&lt;=Summary!$B$4,1,0))</f>
        <v/>
      </c>
      <c r="K50" s="24" t="n"/>
      <c r="L50" s="25" t="n"/>
      <c r="M50" s="13" t="inlineStr">
        <is>
          <t>cashflow:44</t>
        </is>
      </c>
    </row>
    <row r="51">
      <c r="A51" s="26" t="inlineStr">
        <is>
          <t>Net cash used in financing activities</t>
        </is>
      </c>
      <c r="B51" s="19" t="inlineStr">
        <is>
          <t>us-gaap_NetCashProvidedByUsedInFinancingActivities</t>
        </is>
      </c>
      <c r="C51" s="20">
        <f>-816937000.0/Summary!$B$3</f>
        <v/>
      </c>
      <c r="D51" s="21" t="n"/>
      <c r="E51" s="22">
        <f>IF(OR(D51="",C51=""),"",IF(D51=0,IF(C51=0,0,1),(C51-D51)/ABS(D51)))</f>
        <v/>
      </c>
      <c r="F51" s="23">
        <f>IF(E51="","",IF(ABS(E51)&lt;=Summary!$B$4,1,0))</f>
        <v/>
      </c>
      <c r="G51" s="20">
        <f>-1374780000.0/Summary!$B$3</f>
        <v/>
      </c>
      <c r="H51" s="21" t="n"/>
      <c r="I51" s="22">
        <f>IF(OR(H51="",G51=""),"",IF(H51=0,IF(G51=0,0,1),(G51-H51)/ABS(H51)))</f>
        <v/>
      </c>
      <c r="J51" s="23">
        <f>IF(I51="","",IF(ABS(I51)&lt;=Summary!$B$4,1,0))</f>
        <v/>
      </c>
      <c r="K51" s="24" t="n"/>
      <c r="L51" s="25" t="n"/>
      <c r="M51" s="13" t="inlineStr">
        <is>
          <t>cashflow:45</t>
        </is>
      </c>
    </row>
    <row r="52">
      <c r="A52" s="18" t="inlineStr">
        <is>
          <t>Effect of exchange rate changes on cash, cash equivalents and restricted cash</t>
        </is>
      </c>
      <c r="B52" s="19" t="inlineStr">
        <is>
          <t>us-gaap_EffectOfExchangeRateOnCashCashEquivalentsRestrictedCashAndRestrictedCashEquivalentsIncludingDisposalGroupAndDiscontinuedOperations</t>
        </is>
      </c>
      <c r="C52" s="20">
        <f>-18481000.0/Summary!$B$3</f>
        <v/>
      </c>
      <c r="D52" s="21" t="n"/>
      <c r="E52" s="22">
        <f>IF(OR(D52="",C52=""),"",IF(D52=0,IF(C52=0,0,1),(C52-D52)/ABS(D52)))</f>
        <v/>
      </c>
      <c r="F52" s="23">
        <f>IF(E52="","",IF(ABS(E52)&lt;=Summary!$B$4,1,0))</f>
        <v/>
      </c>
      <c r="G52" s="20">
        <f>21151000.0/Summary!$B$3</f>
        <v/>
      </c>
      <c r="H52" s="21" t="n"/>
      <c r="I52" s="22">
        <f>IF(OR(H52="",G52=""),"",IF(H52=0,IF(G52=0,0,1),(G52-H52)/ABS(H52)))</f>
        <v/>
      </c>
      <c r="J52" s="23">
        <f>IF(I52="","",IF(ABS(I52)&lt;=Summary!$B$4,1,0))</f>
        <v/>
      </c>
      <c r="K52" s="24" t="n"/>
      <c r="L52" s="25" t="n"/>
      <c r="M52" s="13" t="inlineStr">
        <is>
          <t>cashflow:46</t>
        </is>
      </c>
    </row>
    <row r="53">
      <c r="A53" s="26" t="inlineStr">
        <is>
          <t>Less: Net increase (decrease) in cash, cash equivalents and restricted cash</t>
        </is>
      </c>
      <c r="B53" s="19" t="inlineStr">
        <is>
          <t>us-gaap_CashCashEquivalentsRestrictedCashAndRestrictedCashEquivalentsPeriodIncreaseDecreaseIncludingExchangeRateEffect</t>
        </is>
      </c>
      <c r="C53" s="20">
        <f>415191000.0/Summary!$B$3</f>
        <v/>
      </c>
      <c r="D53" s="21" t="n"/>
      <c r="E53" s="22">
        <f>IF(OR(D53="",C53=""),"",IF(D53=0,IF(C53=0,0,1),(C53-D53)/ABS(D53)))</f>
        <v/>
      </c>
      <c r="F53" s="23">
        <f>IF(E53="","",IF(ABS(E53)&lt;=Summary!$B$4,1,0))</f>
        <v/>
      </c>
      <c r="G53" s="20">
        <f>-122078000.0/Summary!$B$3</f>
        <v/>
      </c>
      <c r="H53" s="21" t="n"/>
      <c r="I53" s="22">
        <f>IF(OR(H53="",G53=""),"",IF(H53=0,IF(G53=0,0,1),(G53-H53)/ABS(H53)))</f>
        <v/>
      </c>
      <c r="J53" s="23">
        <f>IF(I53="","",IF(ABS(I53)&lt;=Summary!$B$4,1,0))</f>
        <v/>
      </c>
      <c r="K53" s="24" t="n"/>
      <c r="L53" s="25" t="n"/>
      <c r="M53" s="13" t="inlineStr">
        <is>
          <t>cashflow:47</t>
        </is>
      </c>
    </row>
    <row r="54">
      <c r="A54" s="18" t="inlineStr">
        <is>
          <t>Cash, cash equivalents and restricted cash of continuing operations at beginning of the year</t>
        </is>
      </c>
      <c r="B54" s="19" t="inlineStr">
        <is>
          <t>us-gaap_CashCashEquivalentsRestrictedCashAndRestrictedCashEquivalents</t>
        </is>
      </c>
      <c r="C54" s="20">
        <f>464634000.0/Summary!$B$3</f>
        <v/>
      </c>
      <c r="D54" s="21" t="n"/>
      <c r="E54" s="22">
        <f>IF(OR(D54="",C54=""),"",IF(D54=0,IF(C54=0,0,1),(C54-D54)/ABS(D54)))</f>
        <v/>
      </c>
      <c r="F54" s="23">
        <f>IF(E54="","",IF(ABS(E54)&lt;=Summary!$B$4,1,0))</f>
        <v/>
      </c>
      <c r="G54" s="20">
        <f>879825000.0/Summary!$B$3</f>
        <v/>
      </c>
      <c r="H54" s="21" t="n"/>
      <c r="I54" s="22">
        <f>IF(OR(H54="",G54=""),"",IF(H54=0,IF(G54=0,0,1),(G54-H54)/ABS(H54)))</f>
        <v/>
      </c>
      <c r="J54" s="23">
        <f>IF(I54="","",IF(ABS(I54)&lt;=Summary!$B$4,1,0))</f>
        <v/>
      </c>
      <c r="K54" s="24" t="n"/>
      <c r="L54" s="25" t="n"/>
      <c r="M54" s="13" t="inlineStr">
        <is>
          <t>cashflow:48</t>
        </is>
      </c>
    </row>
    <row r="55">
      <c r="A55" s="18" t="inlineStr">
        <is>
          <t>Cash, cash equivalents and restricted cash of continuing operations at end of the year</t>
        </is>
      </c>
      <c r="B55" s="19" t="inlineStr">
        <is>
          <t>us-gaap_CashCashEquivalentsRestrictedCashAndRestrictedCashEquivalents</t>
        </is>
      </c>
      <c r="C55" s="20">
        <f>879825000.0/Summary!$B$3</f>
        <v/>
      </c>
      <c r="D55" s="21" t="n"/>
      <c r="E55" s="22">
        <f>IF(OR(D55="",C55=""),"",IF(D55=0,IF(C55=0,0,1),(C55-D55)/ABS(D55)))</f>
        <v/>
      </c>
      <c r="F55" s="23">
        <f>IF(E55="","",IF(ABS(E55)&lt;=Summary!$B$4,1,0))</f>
        <v/>
      </c>
      <c r="G55" s="20">
        <f>757747000.0/Summary!$B$3</f>
        <v/>
      </c>
      <c r="H55" s="21" t="n"/>
      <c r="I55" s="22">
        <f>IF(OR(H55="",G55=""),"",IF(H55=0,IF(G55=0,0,1),(G55-H55)/ABS(H55)))</f>
        <v/>
      </c>
      <c r="J55" s="23">
        <f>IF(I55="","",IF(ABS(I55)&lt;=Summary!$B$4,1,0))</f>
        <v/>
      </c>
      <c r="K55" s="24" t="n"/>
      <c r="L55" s="25" t="n"/>
      <c r="M55" s="13" t="inlineStr">
        <is>
          <t>cashflow:49</t>
        </is>
      </c>
    </row>
  </sheetData>
  <mergeCells count="2">
    <mergeCell ref="C4:F4"/>
    <mergeCell ref="G4:J4"/>
  </mergeCells>
  <conditionalFormatting sqref="E7:F7">
    <cfRule type="expression" priority="1" dxfId="0">
      <formula>AND($E7&lt;&gt;"",ABS($E7)&gt;Summary!$B$4)</formula>
    </cfRule>
  </conditionalFormatting>
  <conditionalFormatting sqref="I7:J7">
    <cfRule type="expression" priority="2" dxfId="0">
      <formula>AND($I7&lt;&gt;"",ABS($I7)&gt;Summary!$B$4)</formula>
    </cfRule>
  </conditionalFormatting>
  <conditionalFormatting sqref="E9:F9">
    <cfRule type="expression" priority="3" dxfId="0">
      <formula>AND($E9&lt;&gt;"",ABS($E9)&gt;Summary!$B$4)</formula>
    </cfRule>
  </conditionalFormatting>
  <conditionalFormatting sqref="I9:J9">
    <cfRule type="expression" priority="4" dxfId="0">
      <formula>AND($I9&lt;&gt;"",ABS($I9)&gt;Summary!$B$4)</formula>
    </cfRule>
  </conditionalFormatting>
  <conditionalFormatting sqref="E10:F10">
    <cfRule type="expression" priority="5" dxfId="0">
      <formula>AND($E10&lt;&gt;"",ABS($E10)&gt;Summary!$B$4)</formula>
    </cfRule>
  </conditionalFormatting>
  <conditionalFormatting sqref="I10:J10">
    <cfRule type="expression" priority="6" dxfId="0">
      <formula>AND($I10&lt;&gt;"",ABS($I10)&gt;Summary!$B$4)</formula>
    </cfRule>
  </conditionalFormatting>
  <conditionalFormatting sqref="E11:F11">
    <cfRule type="expression" priority="7" dxfId="0">
      <formula>AND($E11&lt;&gt;"",ABS($E11)&gt;Summary!$B$4)</formula>
    </cfRule>
  </conditionalFormatting>
  <conditionalFormatting sqref="I11:J11">
    <cfRule type="expression" priority="8" dxfId="0">
      <formula>AND($I11&lt;&gt;"",ABS($I11)&gt;Summary!$B$4)</formula>
    </cfRule>
  </conditionalFormatting>
  <conditionalFormatting sqref="E12:F12">
    <cfRule type="expression" priority="9" dxfId="0">
      <formula>AND($E12&lt;&gt;"",ABS($E12)&gt;Summary!$B$4)</formula>
    </cfRule>
  </conditionalFormatting>
  <conditionalFormatting sqref="I12:J12">
    <cfRule type="expression" priority="10" dxfId="0">
      <formula>AND($I12&lt;&gt;"",ABS($I12)&gt;Summary!$B$4)</formula>
    </cfRule>
  </conditionalFormatting>
  <conditionalFormatting sqref="E13:F13">
    <cfRule type="expression" priority="11" dxfId="0">
      <formula>AND($E13&lt;&gt;"",ABS($E13)&gt;Summary!$B$4)</formula>
    </cfRule>
  </conditionalFormatting>
  <conditionalFormatting sqref="I13:J13">
    <cfRule type="expression" priority="12" dxfId="0">
      <formula>AND($I13&lt;&gt;"",ABS($I13)&gt;Summary!$B$4)</formula>
    </cfRule>
  </conditionalFormatting>
  <conditionalFormatting sqref="E14:F14">
    <cfRule type="expression" priority="13" dxfId="0">
      <formula>AND($E14&lt;&gt;"",ABS($E14)&gt;Summary!$B$4)</formula>
    </cfRule>
  </conditionalFormatting>
  <conditionalFormatting sqref="I14:J14">
    <cfRule type="expression" priority="14" dxfId="0">
      <formula>AND($I14&lt;&gt;"",ABS($I14)&gt;Summary!$B$4)</formula>
    </cfRule>
  </conditionalFormatting>
  <conditionalFormatting sqref="E15:F15">
    <cfRule type="expression" priority="15" dxfId="0">
      <formula>AND($E15&lt;&gt;"",ABS($E15)&gt;Summary!$B$4)</formula>
    </cfRule>
  </conditionalFormatting>
  <conditionalFormatting sqref="I15:J15">
    <cfRule type="expression" priority="16" dxfId="0">
      <formula>AND($I15&lt;&gt;"",ABS($I15)&gt;Summary!$B$4)</formula>
    </cfRule>
  </conditionalFormatting>
  <conditionalFormatting sqref="E16:F16">
    <cfRule type="expression" priority="17" dxfId="0">
      <formula>AND($E16&lt;&gt;"",ABS($E16)&gt;Summary!$B$4)</formula>
    </cfRule>
  </conditionalFormatting>
  <conditionalFormatting sqref="I16:J16">
    <cfRule type="expression" priority="18" dxfId="0">
      <formula>AND($I16&lt;&gt;"",ABS($I16)&gt;Summary!$B$4)</formula>
    </cfRule>
  </conditionalFormatting>
  <conditionalFormatting sqref="E18:F18">
    <cfRule type="expression" priority="19" dxfId="0">
      <formula>AND($E18&lt;&gt;"",ABS($E18)&gt;Summary!$B$4)</formula>
    </cfRule>
  </conditionalFormatting>
  <conditionalFormatting sqref="I18:J18">
    <cfRule type="expression" priority="20" dxfId="0">
      <formula>AND($I18&lt;&gt;"",ABS($I18)&gt;Summary!$B$4)</formula>
    </cfRule>
  </conditionalFormatting>
  <conditionalFormatting sqref="E19:F19">
    <cfRule type="expression" priority="21" dxfId="0">
      <formula>AND($E19&lt;&gt;"",ABS($E19)&gt;Summary!$B$4)</formula>
    </cfRule>
  </conditionalFormatting>
  <conditionalFormatting sqref="I19:J19">
    <cfRule type="expression" priority="22" dxfId="0">
      <formula>AND($I19&lt;&gt;"",ABS($I19)&gt;Summary!$B$4)</formula>
    </cfRule>
  </conditionalFormatting>
  <conditionalFormatting sqref="E20:F20">
    <cfRule type="expression" priority="23" dxfId="0">
      <formula>AND($E20&lt;&gt;"",ABS($E20)&gt;Summary!$B$4)</formula>
    </cfRule>
  </conditionalFormatting>
  <conditionalFormatting sqref="I20:J20">
    <cfRule type="expression" priority="24" dxfId="0">
      <formula>AND($I20&lt;&gt;"",ABS($I20)&gt;Summary!$B$4)</formula>
    </cfRule>
  </conditionalFormatting>
  <conditionalFormatting sqref="E21:F21">
    <cfRule type="expression" priority="25" dxfId="0">
      <formula>AND($E21&lt;&gt;"",ABS($E21)&gt;Summary!$B$4)</formula>
    </cfRule>
  </conditionalFormatting>
  <conditionalFormatting sqref="I21:J21">
    <cfRule type="expression" priority="26" dxfId="0">
      <formula>AND($I21&lt;&gt;"",ABS($I21)&gt;Summary!$B$4)</formula>
    </cfRule>
  </conditionalFormatting>
  <conditionalFormatting sqref="E22:F22">
    <cfRule type="expression" priority="27" dxfId="0">
      <formula>AND($E22&lt;&gt;"",ABS($E22)&gt;Summary!$B$4)</formula>
    </cfRule>
  </conditionalFormatting>
  <conditionalFormatting sqref="I22:J22">
    <cfRule type="expression" priority="28" dxfId="0">
      <formula>AND($I22&lt;&gt;"",ABS($I22)&gt;Summary!$B$4)</formula>
    </cfRule>
  </conditionalFormatting>
  <conditionalFormatting sqref="E23:F23">
    <cfRule type="expression" priority="29" dxfId="0">
      <formula>AND($E23&lt;&gt;"",ABS($E23)&gt;Summary!$B$4)</formula>
    </cfRule>
  </conditionalFormatting>
  <conditionalFormatting sqref="I23:J23">
    <cfRule type="expression" priority="30" dxfId="0">
      <formula>AND($I23&lt;&gt;"",ABS($I23)&gt;Summary!$B$4)</formula>
    </cfRule>
  </conditionalFormatting>
  <conditionalFormatting sqref="E24:F24">
    <cfRule type="expression" priority="31" dxfId="0">
      <formula>AND($E24&lt;&gt;"",ABS($E24)&gt;Summary!$B$4)</formula>
    </cfRule>
  </conditionalFormatting>
  <conditionalFormatting sqref="I24:J24">
    <cfRule type="expression" priority="32" dxfId="0">
      <formula>AND($I24&lt;&gt;"",ABS($I24)&gt;Summary!$B$4)</formula>
    </cfRule>
  </conditionalFormatting>
  <conditionalFormatting sqref="E25:F25">
    <cfRule type="expression" priority="33" dxfId="0">
      <formula>AND($E25&lt;&gt;"",ABS($E25)&gt;Summary!$B$4)</formula>
    </cfRule>
  </conditionalFormatting>
  <conditionalFormatting sqref="I25:J25">
    <cfRule type="expression" priority="34" dxfId="0">
      <formula>AND($I25&lt;&gt;"",ABS($I25)&gt;Summary!$B$4)</formula>
    </cfRule>
  </conditionalFormatting>
  <conditionalFormatting sqref="E26:F26">
    <cfRule type="expression" priority="35" dxfId="0">
      <formula>AND($E26&lt;&gt;"",ABS($E26)&gt;Summary!$B$4)</formula>
    </cfRule>
  </conditionalFormatting>
  <conditionalFormatting sqref="I26:J26">
    <cfRule type="expression" priority="36" dxfId="0">
      <formula>AND($I26&lt;&gt;"",ABS($I26)&gt;Summary!$B$4)</formula>
    </cfRule>
  </conditionalFormatting>
  <conditionalFormatting sqref="E27:F27">
    <cfRule type="expression" priority="37" dxfId="0">
      <formula>AND($E27&lt;&gt;"",ABS($E27)&gt;Summary!$B$4)</formula>
    </cfRule>
  </conditionalFormatting>
  <conditionalFormatting sqref="I27:J27">
    <cfRule type="expression" priority="38" dxfId="0">
      <formula>AND($I27&lt;&gt;"",ABS($I27)&gt;Summary!$B$4)</formula>
    </cfRule>
  </conditionalFormatting>
  <conditionalFormatting sqref="E29:F29">
    <cfRule type="expression" priority="39" dxfId="0">
      <formula>AND($E29&lt;&gt;"",ABS($E29)&gt;Summary!$B$4)</formula>
    </cfRule>
  </conditionalFormatting>
  <conditionalFormatting sqref="I29:J29">
    <cfRule type="expression" priority="40" dxfId="0">
      <formula>AND($I29&lt;&gt;"",ABS($I29)&gt;Summary!$B$4)</formula>
    </cfRule>
  </conditionalFormatting>
  <conditionalFormatting sqref="E30:F30">
    <cfRule type="expression" priority="41" dxfId="0">
      <formula>AND($E30&lt;&gt;"",ABS($E30)&gt;Summary!$B$4)</formula>
    </cfRule>
  </conditionalFormatting>
  <conditionalFormatting sqref="I30:J30">
    <cfRule type="expression" priority="42" dxfId="0">
      <formula>AND($I30&lt;&gt;"",ABS($I30)&gt;Summary!$B$4)</formula>
    </cfRule>
  </conditionalFormatting>
  <conditionalFormatting sqref="E31:F31">
    <cfRule type="expression" priority="43" dxfId="0">
      <formula>AND($E31&lt;&gt;"",ABS($E31)&gt;Summary!$B$4)</formula>
    </cfRule>
  </conditionalFormatting>
  <conditionalFormatting sqref="I31:J31">
    <cfRule type="expression" priority="44" dxfId="0">
      <formula>AND($I31&lt;&gt;"",ABS($I31)&gt;Summary!$B$4)</formula>
    </cfRule>
  </conditionalFormatting>
  <conditionalFormatting sqref="E32:F32">
    <cfRule type="expression" priority="45" dxfId="0">
      <formula>AND($E32&lt;&gt;"",ABS($E32)&gt;Summary!$B$4)</formula>
    </cfRule>
  </conditionalFormatting>
  <conditionalFormatting sqref="I32:J32">
    <cfRule type="expression" priority="46" dxfId="0">
      <formula>AND($I32&lt;&gt;"",ABS($I32)&gt;Summary!$B$4)</formula>
    </cfRule>
  </conditionalFormatting>
  <conditionalFormatting sqref="E33:F33">
    <cfRule type="expression" priority="47" dxfId="0">
      <formula>AND($E33&lt;&gt;"",ABS($E33)&gt;Summary!$B$4)</formula>
    </cfRule>
  </conditionalFormatting>
  <conditionalFormatting sqref="I33:J33">
    <cfRule type="expression" priority="48" dxfId="0">
      <formula>AND($I33&lt;&gt;"",ABS($I33)&gt;Summary!$B$4)</formula>
    </cfRule>
  </conditionalFormatting>
  <conditionalFormatting sqref="E34:F34">
    <cfRule type="expression" priority="49" dxfId="0">
      <formula>AND($E34&lt;&gt;"",ABS($E34)&gt;Summary!$B$4)</formula>
    </cfRule>
  </conditionalFormatting>
  <conditionalFormatting sqref="I34:J34">
    <cfRule type="expression" priority="50" dxfId="0">
      <formula>AND($I34&lt;&gt;"",ABS($I34)&gt;Summary!$B$4)</formula>
    </cfRule>
  </conditionalFormatting>
  <conditionalFormatting sqref="E35:F35">
    <cfRule type="expression" priority="51" dxfId="0">
      <formula>AND($E35&lt;&gt;"",ABS($E35)&gt;Summary!$B$4)</formula>
    </cfRule>
  </conditionalFormatting>
  <conditionalFormatting sqref="I35:J35">
    <cfRule type="expression" priority="52" dxfId="0">
      <formula>AND($I35&lt;&gt;"",ABS($I35)&gt;Summary!$B$4)</formula>
    </cfRule>
  </conditionalFormatting>
  <conditionalFormatting sqref="E36:F36">
    <cfRule type="expression" priority="53" dxfId="0">
      <formula>AND($E36&lt;&gt;"",ABS($E36)&gt;Summary!$B$4)</formula>
    </cfRule>
  </conditionalFormatting>
  <conditionalFormatting sqref="I36:J36">
    <cfRule type="expression" priority="54" dxfId="0">
      <formula>AND($I36&lt;&gt;"",ABS($I36)&gt;Summary!$B$4)</formula>
    </cfRule>
  </conditionalFormatting>
  <conditionalFormatting sqref="E37:F37">
    <cfRule type="expression" priority="55" dxfId="0">
      <formula>AND($E37&lt;&gt;"",ABS($E37)&gt;Summary!$B$4)</formula>
    </cfRule>
  </conditionalFormatting>
  <conditionalFormatting sqref="I37:J37">
    <cfRule type="expression" priority="56" dxfId="0">
      <formula>AND($I37&lt;&gt;"",ABS($I37)&gt;Summary!$B$4)</formula>
    </cfRule>
  </conditionalFormatting>
  <conditionalFormatting sqref="E38:F38">
    <cfRule type="expression" priority="57" dxfId="0">
      <formula>AND($E38&lt;&gt;"",ABS($E38)&gt;Summary!$B$4)</formula>
    </cfRule>
  </conditionalFormatting>
  <conditionalFormatting sqref="I38:J38">
    <cfRule type="expression" priority="58" dxfId="0">
      <formula>AND($I38&lt;&gt;"",ABS($I38)&gt;Summary!$B$4)</formula>
    </cfRule>
  </conditionalFormatting>
  <conditionalFormatting sqref="E40:F40">
    <cfRule type="expression" priority="59" dxfId="0">
      <formula>AND($E40&lt;&gt;"",ABS($E40)&gt;Summary!$B$4)</formula>
    </cfRule>
  </conditionalFormatting>
  <conditionalFormatting sqref="I40:J40">
    <cfRule type="expression" priority="60" dxfId="0">
      <formula>AND($I40&lt;&gt;"",ABS($I40)&gt;Summary!$B$4)</formula>
    </cfRule>
  </conditionalFormatting>
  <conditionalFormatting sqref="E41:F41">
    <cfRule type="expression" priority="61" dxfId="0">
      <formula>AND($E41&lt;&gt;"",ABS($E41)&gt;Summary!$B$4)</formula>
    </cfRule>
  </conditionalFormatting>
  <conditionalFormatting sqref="I41:J41">
    <cfRule type="expression" priority="62" dxfId="0">
      <formula>AND($I41&lt;&gt;"",ABS($I41)&gt;Summary!$B$4)</formula>
    </cfRule>
  </conditionalFormatting>
  <conditionalFormatting sqref="E42:F42">
    <cfRule type="expression" priority="63" dxfId="0">
      <formula>AND($E42&lt;&gt;"",ABS($E42)&gt;Summary!$B$4)</formula>
    </cfRule>
  </conditionalFormatting>
  <conditionalFormatting sqref="I42:J42">
    <cfRule type="expression" priority="64" dxfId="0">
      <formula>AND($I42&lt;&gt;"",ABS($I42)&gt;Summary!$B$4)</formula>
    </cfRule>
  </conditionalFormatting>
  <conditionalFormatting sqref="E43:F43">
    <cfRule type="expression" priority="65" dxfId="0">
      <formula>AND($E43&lt;&gt;"",ABS($E43)&gt;Summary!$B$4)</formula>
    </cfRule>
  </conditionalFormatting>
  <conditionalFormatting sqref="I43:J43">
    <cfRule type="expression" priority="66" dxfId="0">
      <formula>AND($I43&lt;&gt;"",ABS($I43)&gt;Summary!$B$4)</formula>
    </cfRule>
  </conditionalFormatting>
  <conditionalFormatting sqref="E44:F44">
    <cfRule type="expression" priority="67" dxfId="0">
      <formula>AND($E44&lt;&gt;"",ABS($E44)&gt;Summary!$B$4)</formula>
    </cfRule>
  </conditionalFormatting>
  <conditionalFormatting sqref="I44:J44">
    <cfRule type="expression" priority="68" dxfId="0">
      <formula>AND($I44&lt;&gt;"",ABS($I44)&gt;Summary!$B$4)</formula>
    </cfRule>
  </conditionalFormatting>
  <conditionalFormatting sqref="E45:F45">
    <cfRule type="expression" priority="69" dxfId="0">
      <formula>AND($E45&lt;&gt;"",ABS($E45)&gt;Summary!$B$4)</formula>
    </cfRule>
  </conditionalFormatting>
  <conditionalFormatting sqref="I45:J45">
    <cfRule type="expression" priority="70" dxfId="0">
      <formula>AND($I45&lt;&gt;"",ABS($I45)&gt;Summary!$B$4)</formula>
    </cfRule>
  </conditionalFormatting>
  <conditionalFormatting sqref="E46:F46">
    <cfRule type="expression" priority="71" dxfId="0">
      <formula>AND($E46&lt;&gt;"",ABS($E46)&gt;Summary!$B$4)</formula>
    </cfRule>
  </conditionalFormatting>
  <conditionalFormatting sqref="I46:J46">
    <cfRule type="expression" priority="72" dxfId="0">
      <formula>AND($I46&lt;&gt;"",ABS($I46)&gt;Summary!$B$4)</formula>
    </cfRule>
  </conditionalFormatting>
  <conditionalFormatting sqref="E47:F47">
    <cfRule type="expression" priority="73" dxfId="0">
      <formula>AND($E47&lt;&gt;"",ABS($E47)&gt;Summary!$B$4)</formula>
    </cfRule>
  </conditionalFormatting>
  <conditionalFormatting sqref="I47:J47">
    <cfRule type="expression" priority="74" dxfId="0">
      <formula>AND($I47&lt;&gt;"",ABS($I47)&gt;Summary!$B$4)</formula>
    </cfRule>
  </conditionalFormatting>
  <conditionalFormatting sqref="E48:F48">
    <cfRule type="expression" priority="75" dxfId="0">
      <formula>AND($E48&lt;&gt;"",ABS($E48)&gt;Summary!$B$4)</formula>
    </cfRule>
  </conditionalFormatting>
  <conditionalFormatting sqref="I48:J48">
    <cfRule type="expression" priority="76" dxfId="0">
      <formula>AND($I48&lt;&gt;"",ABS($I48)&gt;Summary!$B$4)</formula>
    </cfRule>
  </conditionalFormatting>
  <conditionalFormatting sqref="E49:F49">
    <cfRule type="expression" priority="77" dxfId="0">
      <formula>AND($E49&lt;&gt;"",ABS($E49)&gt;Summary!$B$4)</formula>
    </cfRule>
  </conditionalFormatting>
  <conditionalFormatting sqref="I49:J49">
    <cfRule type="expression" priority="78" dxfId="0">
      <formula>AND($I49&lt;&gt;"",ABS($I49)&gt;Summary!$B$4)</formula>
    </cfRule>
  </conditionalFormatting>
  <conditionalFormatting sqref="E50:F50">
    <cfRule type="expression" priority="79" dxfId="0">
      <formula>AND($E50&lt;&gt;"",ABS($E50)&gt;Summary!$B$4)</formula>
    </cfRule>
  </conditionalFormatting>
  <conditionalFormatting sqref="I50:J50">
    <cfRule type="expression" priority="80" dxfId="0">
      <formula>AND($I50&lt;&gt;"",ABS($I50)&gt;Summary!$B$4)</formula>
    </cfRule>
  </conditionalFormatting>
  <conditionalFormatting sqref="E51:F51">
    <cfRule type="expression" priority="81" dxfId="0">
      <formula>AND($E51&lt;&gt;"",ABS($E51)&gt;Summary!$B$4)</formula>
    </cfRule>
  </conditionalFormatting>
  <conditionalFormatting sqref="I51:J51">
    <cfRule type="expression" priority="82" dxfId="0">
      <formula>AND($I51&lt;&gt;"",ABS($I51)&gt;Summary!$B$4)</formula>
    </cfRule>
  </conditionalFormatting>
  <conditionalFormatting sqref="E52:F52">
    <cfRule type="expression" priority="83" dxfId="0">
      <formula>AND($E52&lt;&gt;"",ABS($E52)&gt;Summary!$B$4)</formula>
    </cfRule>
  </conditionalFormatting>
  <conditionalFormatting sqref="I52:J52">
    <cfRule type="expression" priority="84" dxfId="0">
      <formula>AND($I52&lt;&gt;"",ABS($I52)&gt;Summary!$B$4)</formula>
    </cfRule>
  </conditionalFormatting>
  <conditionalFormatting sqref="E53:F53">
    <cfRule type="expression" priority="85" dxfId="0">
      <formula>AND($E53&lt;&gt;"",ABS($E53)&gt;Summary!$B$4)</formula>
    </cfRule>
  </conditionalFormatting>
  <conditionalFormatting sqref="I53:J53">
    <cfRule type="expression" priority="86" dxfId="0">
      <formula>AND($I53&lt;&gt;"",ABS($I53)&gt;Summary!$B$4)</formula>
    </cfRule>
  </conditionalFormatting>
  <conditionalFormatting sqref="E54:F54">
    <cfRule type="expression" priority="87" dxfId="0">
      <formula>AND($E54&lt;&gt;"",ABS($E54)&gt;Summary!$B$4)</formula>
    </cfRule>
  </conditionalFormatting>
  <conditionalFormatting sqref="I54:J54">
    <cfRule type="expression" priority="88" dxfId="0">
      <formula>AND($I54&lt;&gt;"",ABS($I54)&gt;Summary!$B$4)</formula>
    </cfRule>
  </conditionalFormatting>
  <conditionalFormatting sqref="E55:F55">
    <cfRule type="expression" priority="89" dxfId="0">
      <formula>AND($E55&lt;&gt;"",ABS($E55)&gt;Summary!$B$4)</formula>
    </cfRule>
  </conditionalFormatting>
  <conditionalFormatting sqref="I55:J55">
    <cfRule type="expression" priority="90" dxfId="0">
      <formula>AND($I55&lt;&gt;"",ABS($I55)&gt;Summary!$B$4)</formula>
    </cfRule>
  </conditionalFormatting>
  <dataValidations count="1">
    <dataValidation sqref="D6:D55 H6:H55" showDropDown="0" showInputMessage="0" showErrorMessage="0" allowBlank="1" errorTitle="Number expected" error="Type a number, as printed in the 10-K" type="decimal"/>
  </dataValidations>
  <hyperlinks>
    <hyperlink xmlns:r="http://schemas.openxmlformats.org/officeDocument/2006/relationships" ref="A3" r:id="rId1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13" customWidth="1" min="3" max="3"/>
    <col width="13" customWidth="1" min="4" max="4"/>
    <col width="9" customWidth="1" min="5" max="5"/>
    <col width="5" customWidth="1" min="6" max="6"/>
    <col width="13" customWidth="1" min="7" max="7"/>
    <col width="13" customWidth="1" min="8" max="8"/>
    <col width="9" customWidth="1" min="9" max="9"/>
    <col width="5" customWidth="1" min="10" max="10"/>
    <col width="24" customWidth="1" min="11" max="11"/>
    <col width="22" customWidth="1" min="12" max="12"/>
    <col hidden="1" width="13" customWidth="1" min="13" max="13"/>
  </cols>
  <sheetData>
    <row r="1">
      <c r="A1" s="1" t="inlineStr">
        <is>
          <t>Items from the notes (DaVita Inc.)</t>
        </is>
      </c>
    </row>
    <row r="2">
      <c r="A2" s="13" t="inlineStr">
        <is>
          <t>These come from the XBRL company facts, not the statements. Type them from the notes.</t>
        </is>
      </c>
    </row>
    <row r="4">
      <c r="C4" s="15" t="inlineStr">
        <is>
          <t>FY2024</t>
        </is>
      </c>
      <c r="G4" s="15" t="inlineStr">
        <is>
          <t>FY2025</t>
        </is>
      </c>
    </row>
    <row r="5">
      <c r="A5" s="16" t="inlineStr">
        <is>
          <t>Line</t>
        </is>
      </c>
      <c r="B5" s="16" t="inlineStr">
        <is>
          <t>XBRL tag / source</t>
        </is>
      </c>
      <c r="C5" s="16" t="inlineStr">
        <is>
          <t>Tool</t>
        </is>
      </c>
      <c r="D5" s="16" t="inlineStr">
        <is>
          <t>10-K</t>
        </is>
      </c>
      <c r="E5" s="16" t="inlineStr">
        <is>
          <t>Diff</t>
        </is>
      </c>
      <c r="F5" s="16" t="inlineStr">
        <is>
          <t>OK</t>
        </is>
      </c>
      <c r="G5" s="16" t="inlineStr">
        <is>
          <t>Tool</t>
        </is>
      </c>
      <c r="H5" s="16" t="inlineStr">
        <is>
          <t>10-K</t>
        </is>
      </c>
      <c r="I5" s="16" t="inlineStr">
        <is>
          <t>Diff</t>
        </is>
      </c>
      <c r="J5" s="16" t="inlineStr">
        <is>
          <t>OK</t>
        </is>
      </c>
      <c r="K5" s="16" t="inlineStr">
        <is>
          <t>Page / note</t>
        </is>
      </c>
      <c r="L5" s="16" t="inlineStr">
        <is>
          <t>Tool note</t>
        </is>
      </c>
      <c r="M5" s="16" t="inlineStr">
        <is>
          <t>row id</t>
        </is>
      </c>
    </row>
    <row r="6">
      <c r="A6" s="4" t="inlineStr">
        <is>
          <t>Operating lease cost (Leases note: operating lease cost)</t>
        </is>
      </c>
      <c r="B6" s="13" t="inlineStr">
        <is>
          <t>OperatingLeaseCost</t>
        </is>
      </c>
      <c r="C6" s="27">
        <f>689130000.0/Summary!$B$3</f>
        <v/>
      </c>
      <c r="D6" s="28" t="n"/>
      <c r="E6" s="29">
        <f>IF(OR(D6="",C6=""),"",IF(D6=0,IF(C6=0,0,1),(C6-D6)/ABS(D6)))</f>
        <v/>
      </c>
      <c r="F6" s="30">
        <f>IF(E6="","",IF(ABS(E6)&lt;=Summary!$B$4,1,0))</f>
        <v/>
      </c>
      <c r="G6" s="27">
        <f>702180000.0/Summary!$B$3</f>
        <v/>
      </c>
      <c r="H6" s="28" t="n"/>
      <c r="I6" s="29">
        <f>IF(OR(H6="",G6=""),"",IF(H6=0,IF(G6=0,0,1),(G6-H6)/ABS(H6)))</f>
        <v/>
      </c>
      <c r="J6" s="30">
        <f>IF(I6="","",IF(ABS(I6)&lt;=Summary!$B$4,1,0))</f>
        <v/>
      </c>
      <c r="K6" s="31" t="n"/>
      <c r="L6" s="4" t="inlineStr"/>
      <c r="M6" s="13" t="inlineStr">
        <is>
          <t>notes:operating_lease_cost</t>
        </is>
      </c>
    </row>
    <row r="7">
      <c r="A7" s="4" t="inlineStr">
        <is>
          <t>Operating lease liabilities, total (Leases note: total operating lease liabilities)</t>
        </is>
      </c>
      <c r="B7" s="13" t="inlineStr">
        <is>
          <t>OperatingLeaseLiability</t>
        </is>
      </c>
      <c r="C7" s="27">
        <f>2620066000.0/Summary!$B$3</f>
        <v/>
      </c>
      <c r="D7" s="28" t="n"/>
      <c r="E7" s="29">
        <f>IF(OR(D7="",C7=""),"",IF(D7=0,IF(C7=0,0,1),(C7-D7)/ABS(D7)))</f>
        <v/>
      </c>
      <c r="F7" s="30">
        <f>IF(E7="","",IF(ABS(E7)&lt;=Summary!$B$4,1,0))</f>
        <v/>
      </c>
      <c r="G7" s="27">
        <f>2601142000.0/Summary!$B$3</f>
        <v/>
      </c>
      <c r="H7" s="28" t="n"/>
      <c r="I7" s="29">
        <f>IF(OR(H7="",G7=""),"",IF(H7=0,IF(G7=0,0,1),(G7-H7)/ABS(H7)))</f>
        <v/>
      </c>
      <c r="J7" s="30">
        <f>IF(I7="","",IF(ABS(I7)&lt;=Summary!$B$4,1,0))</f>
        <v/>
      </c>
      <c r="K7" s="31" t="n"/>
      <c r="L7" s="4" t="inlineStr"/>
      <c r="M7" s="13" t="inlineStr">
        <is>
          <t>notes:operating_lease_liabilities</t>
        </is>
      </c>
    </row>
    <row r="8">
      <c r="A8" s="4" t="inlineStr">
        <is>
          <t>Debt due in the next 12 months (Debt note: maturities table, first year)</t>
        </is>
      </c>
      <c r="B8" s="13" t="inlineStr">
        <is>
          <t>LongTermDebtMaturitiesRepaymentsOfPrincipalInNextTwelveMonths</t>
        </is>
      </c>
      <c r="C8" s="27">
        <f>270867000.0/Summary!$B$3</f>
        <v/>
      </c>
      <c r="D8" s="28" t="n"/>
      <c r="E8" s="29">
        <f>IF(OR(D8="",C8=""),"",IF(D8=0,IF(C8=0,0,1),(C8-D8)/ABS(D8)))</f>
        <v/>
      </c>
      <c r="F8" s="30">
        <f>IF(E8="","",IF(ABS(E8)&lt;=Summary!$B$4,1,0))</f>
        <v/>
      </c>
      <c r="G8" s="27">
        <f>109201000.0/Summary!$B$3</f>
        <v/>
      </c>
      <c r="H8" s="28" t="n"/>
      <c r="I8" s="29">
        <f>IF(OR(H8="",G8=""),"",IF(H8=0,IF(G8=0,0,1),(G8-H8)/ABS(H8)))</f>
        <v/>
      </c>
      <c r="J8" s="30">
        <f>IF(I8="","",IF(ABS(I8)&lt;=Summary!$B$4,1,0))</f>
        <v/>
      </c>
      <c r="K8" s="31" t="n"/>
      <c r="L8" s="4" t="inlineStr"/>
      <c r="M8" s="13" t="inlineStr">
        <is>
          <t>notes:scheduled_principal</t>
        </is>
      </c>
    </row>
    <row r="9">
      <c r="A9" s="4" t="inlineStr">
        <is>
          <t>Cash taxes paid (Cash flow supplemental disclosure or tax note)</t>
        </is>
      </c>
      <c r="B9" s="13" t="inlineStr">
        <is>
          <t>IncomeTaxesPaidNet</t>
        </is>
      </c>
      <c r="C9" s="27">
        <f>387940000.0/Summary!$B$3</f>
        <v/>
      </c>
      <c r="D9" s="28" t="n"/>
      <c r="E9" s="29">
        <f>IF(OR(D9="",C9=""),"",IF(D9=0,IF(C9=0,0,1),(C9-D9)/ABS(D9)))</f>
        <v/>
      </c>
      <c r="F9" s="30">
        <f>IF(E9="","",IF(ABS(E9)&lt;=Summary!$B$4,1,0))</f>
        <v/>
      </c>
      <c r="G9" s="27">
        <f>176688000.0/Summary!$B$3</f>
        <v/>
      </c>
      <c r="H9" s="28" t="n"/>
      <c r="I9" s="29">
        <f>IF(OR(H9="",G9=""),"",IF(H9=0,IF(G9=0,0,1),(G9-H9)/ABS(H9)))</f>
        <v/>
      </c>
      <c r="J9" s="30">
        <f>IF(I9="","",IF(ABS(I9)&lt;=Summary!$B$4,1,0))</f>
        <v/>
      </c>
      <c r="K9" s="31" t="n"/>
      <c r="L9" s="4" t="inlineStr"/>
      <c r="M9" s="13" t="inlineStr">
        <is>
          <t>notes:cash_taxes</t>
        </is>
      </c>
    </row>
  </sheetData>
  <mergeCells count="2">
    <mergeCell ref="C4:F4"/>
    <mergeCell ref="G4:J4"/>
  </mergeCells>
  <conditionalFormatting sqref="E6:F6">
    <cfRule type="expression" priority="1" dxfId="0">
      <formula>AND($E6&lt;&gt;"",ABS($E6)&gt;Summary!$B$4)</formula>
    </cfRule>
  </conditionalFormatting>
  <conditionalFormatting sqref="I6:J6">
    <cfRule type="expression" priority="2" dxfId="0">
      <formula>AND($I6&lt;&gt;"",ABS($I6)&gt;Summary!$B$4)</formula>
    </cfRule>
  </conditionalFormatting>
  <conditionalFormatting sqref="E7:F7">
    <cfRule type="expression" priority="3" dxfId="0">
      <formula>AND($E7&lt;&gt;"",ABS($E7)&gt;Summary!$B$4)</formula>
    </cfRule>
  </conditionalFormatting>
  <conditionalFormatting sqref="I7:J7">
    <cfRule type="expression" priority="4" dxfId="0">
      <formula>AND($I7&lt;&gt;"",ABS($I7)&gt;Summary!$B$4)</formula>
    </cfRule>
  </conditionalFormatting>
  <conditionalFormatting sqref="E8:F8">
    <cfRule type="expression" priority="5" dxfId="0">
      <formula>AND($E8&lt;&gt;"",ABS($E8)&gt;Summary!$B$4)</formula>
    </cfRule>
  </conditionalFormatting>
  <conditionalFormatting sqref="I8:J8">
    <cfRule type="expression" priority="6" dxfId="0">
      <formula>AND($I8&lt;&gt;"",ABS($I8)&gt;Summary!$B$4)</formula>
    </cfRule>
  </conditionalFormatting>
  <conditionalFormatting sqref="E9:F9">
    <cfRule type="expression" priority="7" dxfId="0">
      <formula>AND($E9&lt;&gt;"",ABS($E9)&gt;Summary!$B$4)</formula>
    </cfRule>
  </conditionalFormatting>
  <conditionalFormatting sqref="I9:J9">
    <cfRule type="expression" priority="8" dxfId="0">
      <formula>AND($I9&lt;&gt;"",ABS($I9)&gt;Summary!$B$4)</formula>
    </cfRule>
  </conditionalFormatting>
  <dataValidations count="1">
    <dataValidation sqref="D6:D9 H6:H9" showDropDown="0" showInputMessage="0" showErrorMessage="0" allowBlank="1" errorTitle="Number expected" error="Type a number, as printed in the 10-K" type="decimal"/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Ratios rebuilt from your typed 10-K figures</t>
        </is>
      </c>
    </row>
    <row r="2">
      <c r="A2" s="13" t="inlineStr">
        <is>
          <t>Each line adds up the typed statement lines that the standard spread maps to it, with the same signs. A year fills in once its lines are typed. Green = linked cells.</t>
        </is>
      </c>
    </row>
    <row r="4">
      <c r="B4" s="15" t="inlineStr">
        <is>
          <t>FY2024</t>
        </is>
      </c>
      <c r="E4" s="15" t="inlineStr">
        <is>
          <t>FY2025</t>
        </is>
      </c>
    </row>
    <row r="5">
      <c r="A5" s="8" t="inlineStr">
        <is>
          <t>Item</t>
        </is>
      </c>
      <c r="B5" s="32" t="inlineStr">
        <is>
          <t>From 10-K</t>
        </is>
      </c>
      <c r="C5" s="32" t="inlineStr">
        <is>
          <t>Tool</t>
        </is>
      </c>
      <c r="D5" s="32" t="inlineStr">
        <is>
          <t>Diff</t>
        </is>
      </c>
      <c r="E5" s="32" t="inlineStr">
        <is>
          <t>From 10-K</t>
        </is>
      </c>
      <c r="F5" s="32" t="inlineStr">
        <is>
          <t>Tool</t>
        </is>
      </c>
      <c r="G5" s="32" t="inlineStr">
        <is>
          <t>Diff</t>
        </is>
      </c>
    </row>
    <row r="6">
      <c r="A6" s="4" t="inlineStr">
        <is>
          <t>Revenue</t>
        </is>
      </c>
      <c r="B6" s="33">
        <f>IF(OR('Income statement'!$D$9=""),"",'Income statement'!$D$9)</f>
        <v/>
      </c>
      <c r="C6" s="27">
        <f>12815550000.0/Summary!$B$3</f>
        <v/>
      </c>
      <c r="D6" s="29">
        <f>IF(OR(B6="",C6="",B6="n.m."),"",IF(B6=0,"",(C6-B6)/ABS(B6)))</f>
        <v/>
      </c>
      <c r="E6" s="33">
        <f>IF(OR('Income statement'!$H$9=""),"",'Income statement'!$H$9)</f>
        <v/>
      </c>
      <c r="F6" s="27">
        <f>13643069000.0/Summary!$B$3</f>
        <v/>
      </c>
      <c r="G6" s="29">
        <f>IF(OR(E6="",F6="",E6="n.m."),"",IF(E6=0,"",(F6-E6)/ABS(E6)))</f>
        <v/>
      </c>
    </row>
    <row r="7">
      <c r="A7" s="4" t="inlineStr">
        <is>
          <t>Operating income</t>
        </is>
      </c>
      <c r="B7" s="33">
        <f>IF(OR('Income statement'!$D$18=""),"",'Income statement'!$D$18)</f>
        <v/>
      </c>
      <c r="C7" s="27">
        <f>2090483000.0/Summary!$B$3</f>
        <v/>
      </c>
      <c r="D7" s="29">
        <f>IF(OR(B7="",C7="",B7="n.m."),"",IF(B7=0,"",(C7-B7)/ABS(B7)))</f>
        <v/>
      </c>
      <c r="E7" s="33">
        <f>IF(OR('Income statement'!$H$18=""),"",'Income statement'!$H$18)</f>
        <v/>
      </c>
      <c r="F7" s="27">
        <f>2043615000.0/Summary!$B$3</f>
        <v/>
      </c>
      <c r="G7" s="29">
        <f>IF(OR(E7="",F7="",E7="n.m."),"",IF(E7=0,"",(F7-E7)/ABS(E7)))</f>
        <v/>
      </c>
    </row>
    <row r="8">
      <c r="A8" s="4" t="inlineStr">
        <is>
          <t>D&amp;A (cash flow statement)</t>
        </is>
      </c>
      <c r="B8" s="33">
        <f>IF(OR('Cash flow'!$D$9=""),"",'Cash flow'!$D$9)</f>
        <v/>
      </c>
      <c r="C8" s="27">
        <f>723860000.0/Summary!$B$3</f>
        <v/>
      </c>
      <c r="D8" s="29">
        <f>IF(OR(B8="",C8="",B8="n.m."),"",IF(B8=0,"",(C8-B8)/ABS(B8)))</f>
        <v/>
      </c>
      <c r="E8" s="33">
        <f>IF(OR('Cash flow'!$H$9=""),"",'Cash flow'!$H$9)</f>
        <v/>
      </c>
      <c r="F8" s="27">
        <f>715348000.0/Summary!$B$3</f>
        <v/>
      </c>
      <c r="G8" s="29">
        <f>IF(OR(E8="",F8="",E8="n.m."),"",IF(E8=0,"",(F8-E8)/ABS(E8)))</f>
        <v/>
      </c>
    </row>
    <row r="9">
      <c r="A9" s="4" t="inlineStr">
        <is>
          <t>EBITDA</t>
        </is>
      </c>
      <c r="B9" s="33">
        <f>IF(OR(B7="",B8=""),"",B7+B8)</f>
        <v/>
      </c>
      <c r="C9" s="27">
        <f>2814343000.0/Summary!$B$3</f>
        <v/>
      </c>
      <c r="D9" s="29">
        <f>IF(OR(B9="",C9="",B9="n.m."),"",IF(B9=0,"",(C9-B9)/ABS(B9)))</f>
        <v/>
      </c>
      <c r="E9" s="33">
        <f>IF(OR(E7="",E8=""),"",E7+E8)</f>
        <v/>
      </c>
      <c r="F9" s="27">
        <f>2758963000.0/Summary!$B$3</f>
        <v/>
      </c>
      <c r="G9" s="29">
        <f>IF(OR(E9="",F9="",E9="n.m."),"",IF(E9=0,"",(F9-E9)/ABS(E9)))</f>
        <v/>
      </c>
    </row>
    <row r="10">
      <c r="A10" s="4" t="inlineStr">
        <is>
          <t>Interest expense</t>
        </is>
      </c>
      <c r="B10" s="33">
        <f>IF(OR('Income statement'!$D$19=""),"",-'Income statement'!$D$19)</f>
        <v/>
      </c>
      <c r="C10" s="27">
        <f>470469000.0/Summary!$B$3</f>
        <v/>
      </c>
      <c r="D10" s="29">
        <f>IF(OR(B10="",C10="",B10="n.m."),"",IF(B10=0,"",(C10-B10)/ABS(B10)))</f>
        <v/>
      </c>
      <c r="E10" s="33">
        <f>IF(OR('Income statement'!$H$19=""),"",-'Income statement'!$H$19)</f>
        <v/>
      </c>
      <c r="F10" s="27">
        <f>579926000.0/Summary!$B$3</f>
        <v/>
      </c>
      <c r="G10" s="29">
        <f>IF(OR(E10="",F10="",E10="n.m."),"",IF(E10=0,"",(F10-E10)/ABS(E10)))</f>
        <v/>
      </c>
    </row>
    <row r="11">
      <c r="A11" s="4" t="inlineStr">
        <is>
          <t>Total debt</t>
        </is>
      </c>
      <c r="B11" s="33">
        <f>IF(OR('Balance sheet'!$D$29="",'Balance sheet'!$D$34=""),"",'Balance sheet'!$D$29+'Balance sheet'!$D$34)</f>
        <v/>
      </c>
      <c r="C11" s="27">
        <f>9446770000.0/Summary!$B$3</f>
        <v/>
      </c>
      <c r="D11" s="29">
        <f>IF(OR(B11="",C11="",B11="n.m."),"",IF(B11=0,"",(C11-B11)/ABS(B11)))</f>
        <v/>
      </c>
      <c r="E11" s="33">
        <f>IF(OR('Balance sheet'!$H$29="",'Balance sheet'!$H$34=""),"",'Balance sheet'!$H$29+'Balance sheet'!$H$34)</f>
        <v/>
      </c>
      <c r="F11" s="27">
        <f>10273189000.0/Summary!$B$3</f>
        <v/>
      </c>
      <c r="G11" s="29">
        <f>IF(OR(E11="",F11="",E11="n.m."),"",IF(E11=0,"",(F11-E11)/ABS(E11)))</f>
        <v/>
      </c>
    </row>
    <row r="12">
      <c r="A12" s="4" t="inlineStr">
        <is>
          <t>Cash</t>
        </is>
      </c>
      <c r="B12" s="33">
        <f>IF(OR('Balance sheet'!$D$7=""),"",'Balance sheet'!$D$7)</f>
        <v/>
      </c>
      <c r="C12" s="27">
        <f>794933000.0/Summary!$B$3</f>
        <v/>
      </c>
      <c r="D12" s="29">
        <f>IF(OR(B12="",C12="",B12="n.m."),"",IF(B12=0,"",(C12-B12)/ABS(B12)))</f>
        <v/>
      </c>
      <c r="E12" s="33">
        <f>IF(OR('Balance sheet'!$H$7=""),"",'Balance sheet'!$H$7)</f>
        <v/>
      </c>
      <c r="F12" s="27">
        <f>676438000.0/Summary!$B$3</f>
        <v/>
      </c>
      <c r="G12" s="29">
        <f>IF(OR(E12="",F12="",E12="n.m."),"",IF(E12=0,"",(F12-E12)/ABS(E12)))</f>
        <v/>
      </c>
    </row>
    <row r="13">
      <c r="A13" s="4" t="inlineStr">
        <is>
          <t>Net debt</t>
        </is>
      </c>
      <c r="B13" s="33">
        <f>IF(OR(B11="",B12=""),"",B11-B12)</f>
        <v/>
      </c>
      <c r="C13" s="27">
        <f>8651837000.0/Summary!$B$3</f>
        <v/>
      </c>
      <c r="D13" s="29">
        <f>IF(OR(B13="",C13="",B13="n.m."),"",IF(B13=0,"",(C13-B13)/ABS(B13)))</f>
        <v/>
      </c>
      <c r="E13" s="33">
        <f>IF(OR(E11="",E12=""),"",E11-E12)</f>
        <v/>
      </c>
      <c r="F13" s="27">
        <f>9596751000.0/Summary!$B$3</f>
        <v/>
      </c>
      <c r="G13" s="29">
        <f>IF(OR(E13="",F13="",E13="n.m."),"",IF(E13=0,"",(F13-E13)/ABS(E13)))</f>
        <v/>
      </c>
    </row>
    <row r="14">
      <c r="A14" s="4" t="inlineStr">
        <is>
          <t>Capex</t>
        </is>
      </c>
      <c r="B14" s="33">
        <f>IF(OR('Cash flow'!$D$29=""),"",-'Cash flow'!$D$29)</f>
        <v/>
      </c>
      <c r="C14" s="27">
        <f>555443000.0/Summary!$B$3</f>
        <v/>
      </c>
      <c r="D14" s="29">
        <f>IF(OR(B14="",C14="",B14="n.m."),"",IF(B14=0,"",(C14-B14)/ABS(B14)))</f>
        <v/>
      </c>
      <c r="E14" s="33">
        <f>IF(OR('Cash flow'!$H$29=""),"",-'Cash flow'!$H$29)</f>
        <v/>
      </c>
      <c r="F14" s="27">
        <f>575864000.0/Summary!$B$3</f>
        <v/>
      </c>
      <c r="G14" s="29">
        <f>IF(OR(E14="",F14="",E14="n.m."),"",IF(E14=0,"",(F14-E14)/ABS(E14)))</f>
        <v/>
      </c>
    </row>
    <row r="15">
      <c r="A15" s="4" t="inlineStr">
        <is>
          <t>Operating lease cost (Notes tab)</t>
        </is>
      </c>
      <c r="B15" s="33">
        <f>IF('Notes'!$D$6="","",'Notes'!$D$6)</f>
        <v/>
      </c>
      <c r="C15" s="27">
        <f>689130000.0/Summary!$B$3</f>
        <v/>
      </c>
      <c r="D15" s="29">
        <f>IF(OR(B15="",C15="",B15="n.m."),"",IF(B15=0,"",(C15-B15)/ABS(B15)))</f>
        <v/>
      </c>
      <c r="E15" s="33">
        <f>IF('Notes'!$H$6="","",'Notes'!$H$6)</f>
        <v/>
      </c>
      <c r="F15" s="27">
        <f>702180000.0/Summary!$B$3</f>
        <v/>
      </c>
      <c r="G15" s="29">
        <f>IF(OR(E15="",F15="",E15="n.m."),"",IF(E15=0,"",(F15-E15)/ABS(E15)))</f>
        <v/>
      </c>
    </row>
    <row r="16">
      <c r="A16" s="4" t="inlineStr">
        <is>
          <t>Operating lease liabilities, total (Notes tab)</t>
        </is>
      </c>
      <c r="B16" s="33">
        <f>IF('Notes'!$D$7="","",'Notes'!$D$7)</f>
        <v/>
      </c>
      <c r="C16" s="27">
        <f>2620066000.0/Summary!$B$3</f>
        <v/>
      </c>
      <c r="D16" s="29">
        <f>IF(OR(B16="",C16="",B16="n.m."),"",IF(B16=0,"",(C16-B16)/ABS(B16)))</f>
        <v/>
      </c>
      <c r="E16" s="33">
        <f>IF('Notes'!$H$7="","",'Notes'!$H$7)</f>
        <v/>
      </c>
      <c r="F16" s="27">
        <f>2601142000.0/Summary!$B$3</f>
        <v/>
      </c>
      <c r="G16" s="29">
        <f>IF(OR(E16="",F16="",E16="n.m."),"",IF(E16=0,"",(F16-E16)/ABS(E16)))</f>
        <v/>
      </c>
    </row>
    <row r="17">
      <c r="A17" s="4" t="inlineStr">
        <is>
          <t>Debt due in the next 12 months (Notes tab)</t>
        </is>
      </c>
      <c r="B17" s="33">
        <f>IF('Notes'!$D$8="","",'Notes'!$D$8)</f>
        <v/>
      </c>
      <c r="C17" s="27">
        <f>270867000.0/Summary!$B$3</f>
        <v/>
      </c>
      <c r="D17" s="29">
        <f>IF(OR(B17="",C17="",B17="n.m."),"",IF(B17=0,"",(C17-B17)/ABS(B17)))</f>
        <v/>
      </c>
      <c r="E17" s="33">
        <f>IF('Notes'!$H$8="","",'Notes'!$H$8)</f>
        <v/>
      </c>
      <c r="F17" s="27">
        <f>109201000.0/Summary!$B$3</f>
        <v/>
      </c>
      <c r="G17" s="29">
        <f>IF(OR(E17="",F17="",E17="n.m."),"",IF(E17=0,"",(F17-E17)/ABS(E17)))</f>
        <v/>
      </c>
    </row>
    <row r="18">
      <c r="A18" s="4" t="inlineStr">
        <is>
          <t>Cash taxes paid (Notes tab)</t>
        </is>
      </c>
      <c r="B18" s="33">
        <f>IF('Notes'!$D$9="","",'Notes'!$D$9)</f>
        <v/>
      </c>
      <c r="C18" s="27">
        <f>387940000.0/Summary!$B$3</f>
        <v/>
      </c>
      <c r="D18" s="29">
        <f>IF(OR(B18="",C18="",B18="n.m."),"",IF(B18=0,"",(C18-B18)/ABS(B18)))</f>
        <v/>
      </c>
      <c r="E18" s="33">
        <f>IF('Notes'!$H$9="","",'Notes'!$H$9)</f>
        <v/>
      </c>
      <c r="F18" s="27">
        <f>176688000.0/Summary!$B$3</f>
        <v/>
      </c>
      <c r="G18" s="29">
        <f>IF(OR(E18="",F18="",E18="n.m."),"",IF(E18=0,"",(F18-E18)/ABS(E18)))</f>
        <v/>
      </c>
    </row>
    <row r="19">
      <c r="A19" s="4" t="inlineStr">
        <is>
          <t>EBITDAR</t>
        </is>
      </c>
      <c r="B19" s="33">
        <f>IF(OR(B9="",B15=""),"",B9+B15)</f>
        <v/>
      </c>
      <c r="C19" s="27">
        <f>3503473000.0/Summary!$B$3</f>
        <v/>
      </c>
      <c r="D19" s="29">
        <f>IF(OR(B19="",C19="",B19="n.m."),"",IF(B19=0,"",(C19-B19)/ABS(B19)))</f>
        <v/>
      </c>
      <c r="E19" s="33">
        <f>IF(OR(E9="",E15=""),"",E9+E15)</f>
        <v/>
      </c>
      <c r="F19" s="27">
        <f>3461143000.0/Summary!$B$3</f>
        <v/>
      </c>
      <c r="G19" s="29">
        <f>IF(OR(E19="",F19="",E19="n.m."),"",IF(E19=0,"",(F19-E19)/ABS(E19)))</f>
        <v/>
      </c>
    </row>
    <row r="20">
      <c r="A20" s="4" t="inlineStr">
        <is>
          <t>Current assets</t>
        </is>
      </c>
      <c r="B20" s="33">
        <f>IF(OR('Balance sheet'!$D$15=""),"",'Balance sheet'!$D$15)</f>
        <v/>
      </c>
      <c r="C20" s="27">
        <f>3746072000.0/Summary!$B$3</f>
        <v/>
      </c>
      <c r="D20" s="29">
        <f>IF(OR(B20="",C20="",B20="n.m."),"",IF(B20=0,"",(C20-B20)/ABS(B20)))</f>
        <v/>
      </c>
      <c r="E20" s="33">
        <f>IF(OR('Balance sheet'!$H$15=""),"",'Balance sheet'!$H$15)</f>
        <v/>
      </c>
      <c r="F20" s="27">
        <f>4058003000.0/Summary!$B$3</f>
        <v/>
      </c>
      <c r="G20" s="29">
        <f>IF(OR(E20="",F20="",E20="n.m."),"",IF(E20=0,"",(F20-E20)/ABS(E20)))</f>
        <v/>
      </c>
    </row>
    <row r="21">
      <c r="A21" s="4" t="inlineStr">
        <is>
          <t>Current liabilities</t>
        </is>
      </c>
      <c r="B21" s="33">
        <f>IF(OR('Balance sheet'!$D$32=""),"",'Balance sheet'!$D$32)</f>
        <v/>
      </c>
      <c r="C21" s="27">
        <f>2973410000.0/Summary!$B$3</f>
        <v/>
      </c>
      <c r="D21" s="29">
        <f>IF(OR(B21="",C21="",B21="n.m."),"",IF(B21=0,"",(C21-B21)/ABS(B21)))</f>
        <v/>
      </c>
      <c r="E21" s="33">
        <f>IF(OR('Balance sheet'!$H$32=""),"",'Balance sheet'!$H$32)</f>
        <v/>
      </c>
      <c r="F21" s="27">
        <f>3141634000.0/Summary!$B$3</f>
        <v/>
      </c>
      <c r="G21" s="29">
        <f>IF(OR(E21="",F21="",E21="n.m."),"",IF(E21=0,"",(F21-E21)/ABS(E21)))</f>
        <v/>
      </c>
    </row>
    <row r="23">
      <c r="A23" s="11" t="inlineStr">
        <is>
          <t>Debt / EBITDA</t>
        </is>
      </c>
      <c r="B23" s="34">
        <f>IF(OR(B11="",B9=""),"",IF(B9&lt;=0,"n.m.",(B11)/(B9)))</f>
        <v/>
      </c>
      <c r="C23" s="35" t="n">
        <v>3.356651978809975</v>
      </c>
      <c r="D23" s="29">
        <f>IF(OR(B23="",C23="",B23="n.m."),"",IF(B23=0,"",(C23-B23)/ABS(B23)))</f>
        <v/>
      </c>
      <c r="E23" s="34">
        <f>IF(OR(E11="",E9=""),"",IF(E9&lt;=0,"n.m.",(E11)/(E9)))</f>
        <v/>
      </c>
      <c r="F23" s="35" t="n">
        <v>3.723568964136163</v>
      </c>
      <c r="G23" s="29">
        <f>IF(OR(E23="",F23="",E23="n.m."),"",IF(E23=0,"",(F23-E23)/ABS(E23)))</f>
        <v/>
      </c>
    </row>
    <row r="24">
      <c r="A24" s="11" t="inlineStr">
        <is>
          <t>Net debt / EBITDA</t>
        </is>
      </c>
      <c r="B24" s="34">
        <f>IF(OR(B13="",B9=""),"",IF(B9&lt;=0,"n.m.",(B13)/(B9)))</f>
        <v/>
      </c>
      <c r="C24" s="35" t="n">
        <v>3.074194225792663</v>
      </c>
      <c r="D24" s="29">
        <f>IF(OR(B24="",C24="",B24="n.m."),"",IF(B24=0,"",(C24-B24)/ABS(B24)))</f>
        <v/>
      </c>
      <c r="E24" s="34">
        <f>IF(OR(E13="",E9=""),"",IF(E9&lt;=0,"n.m.",(E13)/(E9)))</f>
        <v/>
      </c>
      <c r="F24" s="35" t="n">
        <v>3.478390612704846</v>
      </c>
      <c r="G24" s="29">
        <f>IF(OR(E24="",F24="",E24="n.m."),"",IF(E24=0,"",(F24-E24)/ABS(E24)))</f>
        <v/>
      </c>
    </row>
    <row r="25">
      <c r="A25" s="11" t="inlineStr">
        <is>
          <t>(Debt + leases) / EBITDAR</t>
        </is>
      </c>
      <c r="B25" s="34">
        <f>IF(OR(B11="",B16="",B19=""),"",IF(B19&lt;=0,"n.m.",(B11+B16)/(B19)))</f>
        <v/>
      </c>
      <c r="C25" s="35" t="n">
        <v>3.444249748749312</v>
      </c>
      <c r="D25" s="29">
        <f>IF(OR(B25="",C25="",B25="n.m."),"",IF(B25=0,"",(C25-B25)/ABS(B25)))</f>
        <v/>
      </c>
      <c r="E25" s="34">
        <f>IF(OR(E11="",E16="",E19=""),"",IF(E19&lt;=0,"n.m.",(E11+E16)/(E19)))</f>
        <v/>
      </c>
      <c r="F25" s="35" t="n">
        <v>3.719676130110776</v>
      </c>
      <c r="G25" s="29">
        <f>IF(OR(E25="",F25="",E25="n.m."),"",IF(E25=0,"",(F25-E25)/ABS(E25)))</f>
        <v/>
      </c>
    </row>
    <row r="26">
      <c r="A26" s="11" t="inlineStr">
        <is>
          <t>EBITDA / interest</t>
        </is>
      </c>
      <c r="B26" s="34">
        <f>IF(OR(B9="",B10=""),"",IF(B10&lt;=0,"n.m.",(B9)/(B10)))</f>
        <v/>
      </c>
      <c r="C26" s="35" t="n">
        <v>5.981994562872368</v>
      </c>
      <c r="D26" s="29">
        <f>IF(OR(B26="",C26="",B26="n.m."),"",IF(B26=0,"",(C26-B26)/ABS(B26)))</f>
        <v/>
      </c>
      <c r="E26" s="34">
        <f>IF(OR(E9="",E10=""),"",IF(E10&lt;=0,"n.m.",(E9)/(E10)))</f>
        <v/>
      </c>
      <c r="F26" s="35" t="n">
        <v>4.75743974231195</v>
      </c>
      <c r="G26" s="29">
        <f>IF(OR(E26="",F26="",E26="n.m."),"",IF(E26=0,"",(F26-E26)/ABS(E26)))</f>
        <v/>
      </c>
    </row>
    <row r="27">
      <c r="A27" s="11" t="inlineStr">
        <is>
          <t>DSCR</t>
        </is>
      </c>
      <c r="B27" s="34">
        <f>IF(OR(B9="",B14="",B18="",B10="",B17=""),"",IF(B10+B17&lt;=0,"n.m.",(B9-B14-B18)/(B10+B17)))</f>
        <v/>
      </c>
      <c r="C27" s="35" t="n">
        <v>2.523767900115467</v>
      </c>
      <c r="D27" s="29">
        <f>IF(OR(B27="",C27="",B27="n.m."),"",IF(B27=0,"",(C27-B27)/ABS(B27)))</f>
        <v/>
      </c>
      <c r="E27" s="34">
        <f>IF(OR(E9="",E14="",E18="",E10="",E17=""),"",IF(E10+E17&lt;=0,"n.m.",(E9-E14-E18)/(E10+E17)))</f>
        <v/>
      </c>
      <c r="F27" s="35" t="n">
        <v>2.911525741989503</v>
      </c>
      <c r="G27" s="29">
        <f>IF(OR(E27="",F27="",E27="n.m."),"",IF(E27=0,"",(F27-E27)/ABS(E27)))</f>
        <v/>
      </c>
    </row>
    <row r="28">
      <c r="A28" s="11" t="inlineStr">
        <is>
          <t>Current ratio</t>
        </is>
      </c>
      <c r="B28" s="34">
        <f>IF(OR(B20="",B21=""),"",IF(B21&lt;=0,"n.m.",(B20)/(B21)))</f>
        <v/>
      </c>
      <c r="C28" s="35" t="n">
        <v>1.259857200991454</v>
      </c>
      <c r="D28" s="29">
        <f>IF(OR(B28="",C28="",B28="n.m."),"",IF(B28=0,"",(C28-B28)/ABS(B28)))</f>
        <v/>
      </c>
      <c r="E28" s="34">
        <f>IF(OR(E20="",E21=""),"",IF(E21&lt;=0,"n.m.",(E20)/(E21)))</f>
        <v/>
      </c>
      <c r="F28" s="35" t="n">
        <v>1.291685473228263</v>
      </c>
      <c r="G28" s="29">
        <f>IF(OR(E28="",F28="",E28="n.m."),"",IF(E28=0,"",(F28-E28)/ABS(E28)))</f>
        <v/>
      </c>
    </row>
  </sheetData>
  <mergeCells count="2">
    <mergeCell ref="E4:G4"/>
    <mergeCell ref="B4:D4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2026-10-21T19:14:04Z</dcterms:created>
  <dcterms:modified xmlns:dcterms="http://purl.org/dc/terms/" xmlns:xsi="http://www.w3.org/2001/XMLSchema-instance" xsi:type="dcterms:W3CDTF">2026-10-21T19:14:04Z</dcterms:modified>
</cp:coreProperties>
</file>