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and check" sheetId="1" state="visible" r:id="rId3"/>
    <sheet name="Ratio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2" authorId="0">
      <text>
        <r>
          <rPr>
            <sz val="10"/>
            <rFont val="Arial"/>
            <family val="2"/>
          </rPr>
          <t xml:space="preserve">From outputs/spreads/DVA.json (xbrl)</t>
        </r>
      </text>
    </comment>
    <comment ref="D13" authorId="0">
      <text>
        <r>
          <rPr>
            <sz val="10"/>
            <rFont val="Arial"/>
            <family val="2"/>
          </rPr>
          <t xml:space="preserve">From outputs/spreads/DVA.json (xbrl)</t>
        </r>
      </text>
    </comment>
    <comment ref="D14" authorId="0">
      <text>
        <r>
          <rPr>
            <sz val="10"/>
            <rFont val="Arial"/>
            <family val="2"/>
          </rPr>
          <t xml:space="preserve">From outputs/spreads/DVA.json (xbrl)</t>
        </r>
      </text>
    </comment>
    <comment ref="D15" authorId="0">
      <text>
        <r>
          <rPr>
            <sz val="10"/>
            <rFont val="Arial"/>
            <family val="2"/>
          </rPr>
          <t xml:space="preserve">From outputs/spreads/DVA.json (xbrl)</t>
        </r>
      </text>
    </comment>
    <comment ref="D16" authorId="0">
      <text>
        <r>
          <rPr>
            <sz val="10"/>
            <rFont val="Arial"/>
            <family val="2"/>
          </rPr>
          <t xml:space="preserve">From outputs/spreads/DVA.json (xbrl)</t>
        </r>
      </text>
    </comment>
    <comment ref="D17" authorId="0">
      <text>
        <r>
          <rPr>
            <sz val="10"/>
            <rFont val="Arial"/>
            <family val="2"/>
          </rPr>
          <t xml:space="preserve">From outputs/spreads/DVA.json (xbrl)</t>
        </r>
      </text>
    </comment>
    <comment ref="D18" authorId="0">
      <text>
        <r>
          <rPr>
            <sz val="10"/>
            <rFont val="Arial"/>
            <family val="2"/>
          </rPr>
          <t xml:space="preserve">From outputs/spreads/DVA.json (xbrl)</t>
        </r>
      </text>
    </comment>
    <comment ref="D19" authorId="0">
      <text>
        <r>
          <rPr>
            <sz val="10"/>
            <rFont val="Arial"/>
            <family val="2"/>
          </rPr>
          <t xml:space="preserve">From outputs/spreads/DVA.json (xbrl)</t>
        </r>
      </text>
    </comment>
    <comment ref="D20" authorId="0">
      <text>
        <r>
          <rPr>
            <sz val="10"/>
            <rFont val="Arial"/>
            <family val="2"/>
          </rPr>
          <t xml:space="preserve">From outputs/spreads/DVA.json (xbrl)</t>
        </r>
      </text>
    </comment>
    <comment ref="D21" authorId="0">
      <text>
        <r>
          <rPr>
            <sz val="10"/>
            <rFont val="Arial"/>
            <family val="2"/>
          </rPr>
          <t xml:space="preserve">From outputs/spreads/DVA.json (xbrl)</t>
        </r>
      </text>
    </comment>
    <comment ref="D22" authorId="0">
      <text>
        <r>
          <rPr>
            <sz val="10"/>
            <rFont val="Arial"/>
            <family val="2"/>
          </rPr>
          <t xml:space="preserve">From outputs/spreads/DVA.json (xbrl)</t>
        </r>
      </text>
    </comment>
    <comment ref="D23" authorId="0">
      <text>
        <r>
          <rPr>
            <sz val="10"/>
            <rFont val="Arial"/>
            <family val="2"/>
          </rPr>
          <t xml:space="preserve">From outputs/spreads/DVA.json (xbrl)</t>
        </r>
      </text>
    </comment>
    <comment ref="D24" authorId="0">
      <text>
        <r>
          <rPr>
            <sz val="10"/>
            <rFont val="Arial"/>
            <family val="2"/>
          </rPr>
          <t xml:space="preserve">From outputs/spreads/DVA.json (xbrl)</t>
        </r>
      </text>
    </comment>
    <comment ref="D25" authorId="0">
      <text>
        <r>
          <rPr>
            <sz val="10"/>
            <rFont val="Arial"/>
            <family val="2"/>
          </rPr>
          <t xml:space="preserve">From outputs/spreads/DVA.json (xbrl)</t>
        </r>
      </text>
    </comment>
    <comment ref="D26" authorId="0">
      <text>
        <r>
          <rPr>
            <sz val="10"/>
            <rFont val="Arial"/>
            <family val="2"/>
          </rPr>
          <t xml:space="preserve">From outputs/spreads/DVA.json (xbrl)</t>
        </r>
      </text>
    </comment>
    <comment ref="D27" authorId="0">
      <text>
        <r>
          <rPr>
            <sz val="10"/>
            <rFont val="Arial"/>
            <family val="2"/>
          </rPr>
          <t xml:space="preserve">From outputs/spreads/DVA.json (xbrl)</t>
        </r>
      </text>
    </comment>
    <comment ref="D28" authorId="0">
      <text>
        <r>
          <rPr>
            <sz val="10"/>
            <rFont val="Arial"/>
            <family val="2"/>
          </rPr>
          <t xml:space="preserve">From outputs/spreads/DVA.json (xbrl)</t>
        </r>
      </text>
    </comment>
    <comment ref="D29" authorId="0">
      <text>
        <r>
          <rPr>
            <sz val="10"/>
            <rFont val="Arial"/>
            <family val="2"/>
          </rPr>
          <t xml:space="preserve">From outputs/spreads/DVA.json (xbrl)</t>
        </r>
      </text>
    </comment>
    <comment ref="D30" authorId="0">
      <text>
        <r>
          <rPr>
            <sz val="10"/>
            <rFont val="Arial"/>
            <family val="2"/>
          </rPr>
          <t xml:space="preserve">From outputs/spreads/DVA.json (xbrl)</t>
        </r>
      </text>
    </comment>
    <comment ref="D31" authorId="0">
      <text>
        <r>
          <rPr>
            <sz val="10"/>
            <rFont val="Arial"/>
            <family val="2"/>
          </rPr>
          <t xml:space="preserve">From outputs/spreads/DVA.json (xbrl)</t>
        </r>
      </text>
    </comment>
    <comment ref="D32" authorId="0">
      <text>
        <r>
          <rPr>
            <sz val="10"/>
            <rFont val="Arial"/>
            <family val="2"/>
          </rPr>
          <t xml:space="preserve">From outputs/spreads/DVA.json (xbrl)</t>
        </r>
      </text>
    </comment>
    <comment ref="D33" authorId="0">
      <text>
        <r>
          <rPr>
            <sz val="10"/>
            <rFont val="Arial"/>
            <family val="2"/>
          </rPr>
          <t xml:space="preserve">From outputs/spreads/DVA.json (xbrl)</t>
        </r>
      </text>
    </comment>
    <comment ref="D34" authorId="0">
      <text>
        <r>
          <rPr>
            <sz val="10"/>
            <rFont val="Arial"/>
            <family val="2"/>
          </rPr>
          <t xml:space="preserve">From outputs/spreads/DVA.json (xbrl)</t>
        </r>
      </text>
    </comment>
    <comment ref="D35" authorId="0">
      <text>
        <r>
          <rPr>
            <sz val="10"/>
            <rFont val="Arial"/>
            <family val="2"/>
          </rPr>
          <t xml:space="preserve">From outputs/spreads/DVA.json (xbrl)</t>
        </r>
      </text>
    </comment>
    <comment ref="D36" authorId="0">
      <text>
        <r>
          <rPr>
            <sz val="10"/>
            <rFont val="Arial"/>
            <family val="2"/>
          </rPr>
          <t xml:space="preserve">From outputs/spreads/DVA.json (xbrl)</t>
        </r>
      </text>
    </comment>
    <comment ref="D37" authorId="0">
      <text>
        <r>
          <rPr>
            <sz val="10"/>
            <rFont val="Arial"/>
            <family val="2"/>
          </rPr>
          <t xml:space="preserve">From outputs/spreads/DVA.json (xbrl)</t>
        </r>
      </text>
    </comment>
    <comment ref="D38" authorId="0">
      <text>
        <r>
          <rPr>
            <sz val="10"/>
            <rFont val="Arial"/>
            <family val="2"/>
          </rPr>
          <t xml:space="preserve">From outputs/spreads/DVA.json (xbrl)</t>
        </r>
      </text>
    </comment>
    <comment ref="D39" authorId="0">
      <text>
        <r>
          <rPr>
            <sz val="10"/>
            <rFont val="Arial"/>
            <family val="2"/>
          </rPr>
          <t xml:space="preserve">From outputs/spreads/DVA.json (xbrl)</t>
        </r>
      </text>
    </comment>
    <comment ref="D40" authorId="0">
      <text>
        <r>
          <rPr>
            <sz val="10"/>
            <rFont val="Arial"/>
            <family val="2"/>
          </rPr>
          <t xml:space="preserve">From outputs/spreads/DVA.json (xbrl)</t>
        </r>
      </text>
    </comment>
    <comment ref="D41" authorId="0">
      <text>
        <r>
          <rPr>
            <sz val="10"/>
            <rFont val="Arial"/>
            <family val="2"/>
          </rPr>
          <t xml:space="preserve">From outputs/spreads/DVA.json (xbrl)</t>
        </r>
      </text>
    </comment>
    <comment ref="D42" authorId="0">
      <text>
        <r>
          <rPr>
            <sz val="10"/>
            <rFont val="Arial"/>
            <family val="2"/>
          </rPr>
          <t xml:space="preserve">From outputs/spreads/DVA.json (assumed_zero)</t>
        </r>
      </text>
    </comment>
    <comment ref="D43" authorId="0">
      <text>
        <r>
          <rPr>
            <sz val="10"/>
            <rFont val="Arial"/>
            <family val="2"/>
          </rPr>
          <t xml:space="preserve">From outputs/spreads/DVA.json (assumed_zero)</t>
        </r>
      </text>
    </comment>
    <comment ref="D44" authorId="0">
      <text>
        <r>
          <rPr>
            <sz val="10"/>
            <rFont val="Arial"/>
            <family val="2"/>
          </rPr>
          <t xml:space="preserve">From outputs/spreads/DVA.json (assumed_zero)</t>
        </r>
      </text>
    </comment>
    <comment ref="D45" authorId="0">
      <text>
        <r>
          <rPr>
            <sz val="10"/>
            <rFont val="Arial"/>
            <family val="2"/>
          </rPr>
          <t xml:space="preserve">From outputs/spreads/DVA.json (assumed_zero)</t>
        </r>
      </text>
    </comment>
    <comment ref="D46" authorId="0">
      <text>
        <r>
          <rPr>
            <sz val="10"/>
            <rFont val="Arial"/>
            <family val="2"/>
          </rPr>
          <t xml:space="preserve">From outputs/spreads/DVA.json (xbrl)</t>
        </r>
      </text>
    </comment>
    <comment ref="D47" authorId="0">
      <text>
        <r>
          <rPr>
            <sz val="10"/>
            <rFont val="Arial"/>
            <family val="2"/>
          </rPr>
          <t xml:space="preserve">From outputs/spreads/DVA.json (xbrl)</t>
        </r>
      </text>
    </comment>
    <comment ref="D48" authorId="0">
      <text>
        <r>
          <rPr>
            <sz val="10"/>
            <rFont val="Arial"/>
            <family val="2"/>
          </rPr>
          <t xml:space="preserve">From outputs/spreads/DVA.json (xbrl)</t>
        </r>
      </text>
    </comment>
    <comment ref="D49" authorId="0">
      <text>
        <r>
          <rPr>
            <sz val="10"/>
            <rFont val="Arial"/>
            <family val="2"/>
          </rPr>
          <t xml:space="preserve">From outputs/spreads/DVA.json (xbrl)</t>
        </r>
      </text>
    </comment>
    <comment ref="D50" authorId="0">
      <text>
        <r>
          <rPr>
            <sz val="10"/>
            <rFont val="Arial"/>
            <family val="2"/>
          </rPr>
          <t xml:space="preserve">From outputs/spreads/DVA.json (included_in_debt)</t>
        </r>
      </text>
    </comment>
    <comment ref="D51" authorId="0">
      <text>
        <r>
          <rPr>
            <sz val="10"/>
            <rFont val="Arial"/>
            <family val="2"/>
          </rPr>
          <t xml:space="preserve">From outputs/spreads/DVA.json (included_in_debt)</t>
        </r>
      </text>
    </comment>
    <comment ref="D52" authorId="0">
      <text>
        <r>
          <rPr>
            <sz val="10"/>
            <rFont val="Arial"/>
            <family val="2"/>
          </rPr>
          <t xml:space="preserve">From outputs/spreads/DVA.json (xbrl)</t>
        </r>
      </text>
    </comment>
    <comment ref="D53" authorId="0">
      <text>
        <r>
          <rPr>
            <sz val="10"/>
            <rFont val="Arial"/>
            <family val="2"/>
          </rPr>
          <t xml:space="preserve">From outputs/spreads/DVA.json (xbrl)</t>
        </r>
      </text>
    </comment>
    <comment ref="D54" authorId="0">
      <text>
        <r>
          <rPr>
            <sz val="10"/>
            <rFont val="Arial"/>
            <family val="2"/>
          </rPr>
          <t xml:space="preserve">From outputs/spreads/DVA.json (xbrl)</t>
        </r>
      </text>
    </comment>
    <comment ref="D55" authorId="0">
      <text>
        <r>
          <rPr>
            <sz val="10"/>
            <rFont val="Arial"/>
            <family val="2"/>
          </rPr>
          <t xml:space="preserve">From outputs/spreads/DVA.json (xbrl)</t>
        </r>
      </text>
    </comment>
  </commentList>
</comments>
</file>

<file path=xl/sharedStrings.xml><?xml version="1.0" encoding="utf-8"?>
<sst xmlns="http://schemas.openxmlformats.org/spreadsheetml/2006/main" count="310" uniqueCount="126">
  <si>
    <t xml:space="preserve">DaVita Inc. (DVA): hand check of the tool's spread</t>
  </si>
  <si>
    <t xml:space="preserve">Unit you type in ($ per unit)</t>
  </si>
  <si>
    <t xml:space="preserve">1,000 if the 10-K says 'in thousands'; 1,000,000 if 'in millions'</t>
  </si>
  <si>
    <t xml:space="preserve">Match target</t>
  </si>
  <si>
    <t xml:space="preserve">How to use</t>
  </si>
  <si>
    <t xml:space="preserve">Type each figure exactly as the 10-K prints it into the yellow '10-K value' column, and the page or note into 'Where you found it'. Leave a cell blank if you haven't checked it yet. Everything else is calculated.</t>
  </si>
  <si>
    <t xml:space="preserve">Example</t>
  </si>
  <si>
    <t xml:space="preserve">Revenue FY2025: if the income statement prints total revenues as 13,643,069, type 13643069 in the yellow cell and something like 'Consolidated Statements of Income, p. 72' next to it.</t>
  </si>
  <si>
    <t xml:space="preserve">Lines checked</t>
  </si>
  <si>
    <t xml:space="preserve">Match rate</t>
  </si>
  <si>
    <t xml:space="preserve">Within target</t>
  </si>
  <si>
    <t xml:space="preserve">Line</t>
  </si>
  <si>
    <t xml:space="preserve">Concept</t>
  </si>
  <si>
    <t xml:space="preserve">Year</t>
  </si>
  <si>
    <t xml:space="preserve">Tool value ($)</t>
  </si>
  <si>
    <t xml:space="preserve">Tool value (10-K units)</t>
  </si>
  <si>
    <t xml:space="preserve">10-K value (type here)</t>
  </si>
  <si>
    <t xml:space="preserve">Difference %</t>
  </si>
  <si>
    <t xml:space="preserve">Within target?</t>
  </si>
  <si>
    <t xml:space="preserve">Where you found it</t>
  </si>
  <si>
    <t xml:space="preserve">Where to look</t>
  </si>
  <si>
    <t xml:space="preserve">XBRL tag / source</t>
  </si>
  <si>
    <t xml:space="preserve">Filing</t>
  </si>
  <si>
    <t xml:space="preserve">Tool note</t>
  </si>
  <si>
    <t xml:space="preserve">Revenue</t>
  </si>
  <si>
    <t xml:space="preserve">revenue</t>
  </si>
  <si>
    <t xml:space="preserve">FY2024</t>
  </si>
  <si>
    <t xml:space="preserve">Income statement</t>
  </si>
  <si>
    <t xml:space="preserve">Revenues</t>
  </si>
  <si>
    <t xml:space="preserve">10-K filed 2026-02-11</t>
  </si>
  <si>
    <t xml:space="preserve">FY2025</t>
  </si>
  <si>
    <t xml:space="preserve">Operating income</t>
  </si>
  <si>
    <t xml:space="preserve">operating_income</t>
  </si>
  <si>
    <t xml:space="preserve">OperatingIncomeLoss</t>
  </si>
  <si>
    <t xml:space="preserve">Depreciation and amortization</t>
  </si>
  <si>
    <t xml:space="preserve">da</t>
  </si>
  <si>
    <t xml:space="preserve">Cash flow statement (operating section) or income statement</t>
  </si>
  <si>
    <t xml:space="preserve">DepreciationDepletionAndAmortization</t>
  </si>
  <si>
    <t xml:space="preserve">Interest expense</t>
  </si>
  <si>
    <t xml:space="preserve">interest_expense</t>
  </si>
  <si>
    <t xml:space="preserve">InterestExpenseDebt</t>
  </si>
  <si>
    <t xml:space="preserve">Pre-tax income</t>
  </si>
  <si>
    <t xml:space="preserve">pretax_income</t>
  </si>
  <si>
    <t xml:space="preserve">IncomeLossFromContinuingOperationsBeforeIncomeTaxesExtraordinaryItemsNoncontrollingInterest</t>
  </si>
  <si>
    <t xml:space="preserve">Net income</t>
  </si>
  <si>
    <t xml:space="preserve">net_income</t>
  </si>
  <si>
    <t xml:space="preserve">NetIncomeLoss</t>
  </si>
  <si>
    <t xml:space="preserve">Cash from operations</t>
  </si>
  <si>
    <t xml:space="preserve">cfo</t>
  </si>
  <si>
    <t xml:space="preserve">Cash flow statement</t>
  </si>
  <si>
    <t xml:space="preserve">NetCashProvidedByUsedInOperatingActivities</t>
  </si>
  <si>
    <t xml:space="preserve">Capital expenditures</t>
  </si>
  <si>
    <t xml:space="preserve">capex</t>
  </si>
  <si>
    <t xml:space="preserve">Cash flow statement (investing section)</t>
  </si>
  <si>
    <t xml:space="preserve">PaymentsToAcquirePropertyPlantAndEquipment</t>
  </si>
  <si>
    <t xml:space="preserve">Cash taxes paid</t>
  </si>
  <si>
    <t xml:space="preserve">cash_taxes</t>
  </si>
  <si>
    <t xml:space="preserve">Cash flow supplemental disclosure or income tax note</t>
  </si>
  <si>
    <t xml:space="preserve">IncomeTaxesPaidNet</t>
  </si>
  <si>
    <t xml:space="preserve">Operating lease cost (rent)</t>
  </si>
  <si>
    <t xml:space="preserve">operating_lease_cost</t>
  </si>
  <si>
    <t xml:space="preserve">Leases note</t>
  </si>
  <si>
    <t xml:space="preserve">OperatingLeaseCost</t>
  </si>
  <si>
    <t xml:space="preserve">Cash and equivalents</t>
  </si>
  <si>
    <t xml:space="preserve">cash</t>
  </si>
  <si>
    <t xml:space="preserve">Balance sheet</t>
  </si>
  <si>
    <t xml:space="preserve">CashAndCashEquivalentsAtCarryingValue</t>
  </si>
  <si>
    <t xml:space="preserve">Current assets</t>
  </si>
  <si>
    <t xml:space="preserve">current_assets</t>
  </si>
  <si>
    <t xml:space="preserve">AssetsCurrent</t>
  </si>
  <si>
    <t xml:space="preserve">Current liabilities</t>
  </si>
  <si>
    <t xml:space="preserve">current_liabilities</t>
  </si>
  <si>
    <t xml:space="preserve">LiabilitiesCurrent</t>
  </si>
  <si>
    <t xml:space="preserve">Total assets</t>
  </si>
  <si>
    <t xml:space="preserve">total_assets</t>
  </si>
  <si>
    <t xml:space="preserve">Assets</t>
  </si>
  <si>
    <t xml:space="preserve">Shareholders' equity</t>
  </si>
  <si>
    <t xml:space="preserve">equity</t>
  </si>
  <si>
    <t xml:space="preserve">StockholdersEquity</t>
  </si>
  <si>
    <t xml:space="preserve">Short-term borrowings</t>
  </si>
  <si>
    <t xml:space="preserve">short_term_borrowings</t>
  </si>
  <si>
    <t xml:space="preserve">Balance sheet (enter 0 if no such line)</t>
  </si>
  <si>
    <t xml:space="preserve">not tagged (counted as 0)</t>
  </si>
  <si>
    <t xml:space="preserve">Not tagged; counted as 0. Confirm in the 10-K.</t>
  </si>
  <si>
    <t xml:space="preserve">Commercial paper</t>
  </si>
  <si>
    <t xml:space="preserve">commercial_paper</t>
  </si>
  <si>
    <t xml:space="preserve">Balance sheet or debt note (enter 0 if none)</t>
  </si>
  <si>
    <t xml:space="preserve">Current portion of long-term debt</t>
  </si>
  <si>
    <t xml:space="preserve">current_ltd</t>
  </si>
  <si>
    <t xml:space="preserve">LongTermDebtAndCapitalLeaseObligationsCurrent</t>
  </si>
  <si>
    <t xml:space="preserve">Long-term debt, noncurrent</t>
  </si>
  <si>
    <t xml:space="preserve">noncurrent_ltd</t>
  </si>
  <si>
    <t xml:space="preserve">LongTermDebtAndCapitalLeaseObligations</t>
  </si>
  <si>
    <t xml:space="preserve">Finance lease liabilities</t>
  </si>
  <si>
    <t xml:space="preserve">finance_lease_liabilities</t>
  </si>
  <si>
    <t xml:space="preserve">FinanceLeaseLiability</t>
  </si>
  <si>
    <t xml:space="preserve">10-K filed 2025-02-13</t>
  </si>
  <si>
    <t xml:space="preserve">Reported separately but already inside long-term debt; the tool does not add it again.</t>
  </si>
  <si>
    <t xml:space="preserve">Operating lease liabilities</t>
  </si>
  <si>
    <t xml:space="preserve">operating_lease_liabilities</t>
  </si>
  <si>
    <t xml:space="preserve">Leases note or balance sheet (current + noncurrent)</t>
  </si>
  <si>
    <t xml:space="preserve">OperatingLeaseLiability</t>
  </si>
  <si>
    <t xml:space="preserve">Scheduled principal, next 12 months</t>
  </si>
  <si>
    <t xml:space="preserve">scheduled_principal</t>
  </si>
  <si>
    <t xml:space="preserve">Debt note: maturities table, next year</t>
  </si>
  <si>
    <t xml:space="preserve">LongTermDebtMaturitiesRepaymentsOfPrincipalInNextTwelveMonths</t>
  </si>
  <si>
    <t xml:space="preserve">Ratios rebuilt in Excel from your 10-K figures, next to the tool's ratios</t>
  </si>
  <si>
    <t xml:space="preserve">Fills in once every input for a year is typed on 'Hand check'. Definitions follow DECISIONS.md. Green cells link to 'Hand check'.</t>
  </si>
  <si>
    <t xml:space="preserve">Add finance leases to debt? (1 = yes, 0 = already inside LTD)</t>
  </si>
  <si>
    <t xml:space="preserve">Item</t>
  </si>
  <si>
    <t xml:space="preserve">FY2024 from 10-K</t>
  </si>
  <si>
    <t xml:space="preserve">FY2024 tool</t>
  </si>
  <si>
    <t xml:space="preserve">FY2024 diff</t>
  </si>
  <si>
    <t xml:space="preserve">FY2025 from 10-K</t>
  </si>
  <si>
    <t xml:space="preserve">FY2025 tool</t>
  </si>
  <si>
    <t xml:space="preserve">FY2025 diff</t>
  </si>
  <si>
    <t xml:space="preserve">EBITDA</t>
  </si>
  <si>
    <t xml:space="preserve">EBITDAR</t>
  </si>
  <si>
    <t xml:space="preserve">Total debt</t>
  </si>
  <si>
    <t xml:space="preserve">Net debt</t>
  </si>
  <si>
    <t xml:space="preserve">Debt / EBITDA</t>
  </si>
  <si>
    <t xml:space="preserve">Net debt / EBITDA</t>
  </si>
  <si>
    <t xml:space="preserve">(Debt + leases) / EBITDAR</t>
  </si>
  <si>
    <t xml:space="preserve">EBITDA / interest</t>
  </si>
  <si>
    <t xml:space="preserve">DSCR</t>
  </si>
  <si>
    <t xml:space="preserve">Current ratio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</si>
</sst>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0.0%"/>
    <numFmt numFmtId="167" formatCode="General"/>
    <numFmt numFmtId="168" formatCode="#,##0;\(#,##0\);\-"/>
    <numFmt numFmtId="169" formatCode="0.00%;\(0.00%\);0.00%"/>
    <numFmt numFmtId="170" formatCode="0.00\x;\(0.00&quot;x)&quot;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DE3EA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DE3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www.sec.gov/Archives/edgar/data/927066/000092706626000012/0000927066-26-000012-index.htm" TargetMode="External"/><Relationship Id="rId3" Type="http://schemas.openxmlformats.org/officeDocument/2006/relationships/hyperlink" Target="https://www.sec.gov/Archives/edgar/data/927066/000092706626000012/0000927066-26-000012-index.htm" TargetMode="External"/><Relationship Id="rId4" Type="http://schemas.openxmlformats.org/officeDocument/2006/relationships/hyperlink" Target="https://www.sec.gov/Archives/edgar/data/927066/000092706626000012/0000927066-26-000012-index.htm" TargetMode="External"/><Relationship Id="rId5" Type="http://schemas.openxmlformats.org/officeDocument/2006/relationships/hyperlink" Target="https://www.sec.gov/Archives/edgar/data/927066/000092706626000012/0000927066-26-000012-index.htm" TargetMode="External"/><Relationship Id="rId6" Type="http://schemas.openxmlformats.org/officeDocument/2006/relationships/hyperlink" Target="https://www.sec.gov/Archives/edgar/data/927066/000092706626000012/0000927066-26-000012-index.htm" TargetMode="External"/><Relationship Id="rId7" Type="http://schemas.openxmlformats.org/officeDocument/2006/relationships/hyperlink" Target="https://www.sec.gov/Archives/edgar/data/927066/000092706626000012/0000927066-26-000012-index.htm" TargetMode="External"/><Relationship Id="rId8" Type="http://schemas.openxmlformats.org/officeDocument/2006/relationships/hyperlink" Target="https://www.sec.gov/Archives/edgar/data/927066/000092706626000012/0000927066-26-000012-index.htm" TargetMode="External"/><Relationship Id="rId9" Type="http://schemas.openxmlformats.org/officeDocument/2006/relationships/hyperlink" Target="https://www.sec.gov/Archives/edgar/data/927066/000092706626000012/0000927066-26-000012-index.htm" TargetMode="External"/><Relationship Id="rId10" Type="http://schemas.openxmlformats.org/officeDocument/2006/relationships/hyperlink" Target="https://www.sec.gov/Archives/edgar/data/927066/000092706626000012/0000927066-26-000012-index.htm" TargetMode="External"/><Relationship Id="rId11" Type="http://schemas.openxmlformats.org/officeDocument/2006/relationships/hyperlink" Target="https://www.sec.gov/Archives/edgar/data/927066/000092706626000012/0000927066-26-000012-index.htm" TargetMode="External"/><Relationship Id="rId12" Type="http://schemas.openxmlformats.org/officeDocument/2006/relationships/hyperlink" Target="https://www.sec.gov/Archives/edgar/data/927066/000092706626000012/0000927066-26-000012-index.htm" TargetMode="External"/><Relationship Id="rId13" Type="http://schemas.openxmlformats.org/officeDocument/2006/relationships/hyperlink" Target="https://www.sec.gov/Archives/edgar/data/927066/000092706626000012/0000927066-26-000012-index.htm" TargetMode="External"/><Relationship Id="rId14" Type="http://schemas.openxmlformats.org/officeDocument/2006/relationships/hyperlink" Target="https://www.sec.gov/Archives/edgar/data/927066/000092706626000012/0000927066-26-000012-index.htm" TargetMode="External"/><Relationship Id="rId15" Type="http://schemas.openxmlformats.org/officeDocument/2006/relationships/hyperlink" Target="https://www.sec.gov/Archives/edgar/data/927066/000092706626000012/0000927066-26-000012-index.htm" TargetMode="External"/><Relationship Id="rId16" Type="http://schemas.openxmlformats.org/officeDocument/2006/relationships/hyperlink" Target="https://www.sec.gov/Archives/edgar/data/927066/000092706626000012/0000927066-26-000012-index.htm" TargetMode="External"/><Relationship Id="rId17" Type="http://schemas.openxmlformats.org/officeDocument/2006/relationships/hyperlink" Target="https://www.sec.gov/Archives/edgar/data/927066/000092706626000012/0000927066-26-000012-index.htm" TargetMode="External"/><Relationship Id="rId18" Type="http://schemas.openxmlformats.org/officeDocument/2006/relationships/hyperlink" Target="https://www.sec.gov/Archives/edgar/data/927066/000092706626000012/0000927066-26-000012-index.htm" TargetMode="External"/><Relationship Id="rId19" Type="http://schemas.openxmlformats.org/officeDocument/2006/relationships/hyperlink" Target="https://www.sec.gov/Archives/edgar/data/927066/000092706626000012/0000927066-26-000012-index.htm" TargetMode="External"/><Relationship Id="rId20" Type="http://schemas.openxmlformats.org/officeDocument/2006/relationships/hyperlink" Target="https://www.sec.gov/Archives/edgar/data/927066/000092706626000012/0000927066-26-000012-index.htm" TargetMode="External"/><Relationship Id="rId21" Type="http://schemas.openxmlformats.org/officeDocument/2006/relationships/hyperlink" Target="https://www.sec.gov/Archives/edgar/data/927066/000092706626000012/0000927066-26-000012-index.htm" TargetMode="External"/><Relationship Id="rId22" Type="http://schemas.openxmlformats.org/officeDocument/2006/relationships/hyperlink" Target="https://www.sec.gov/Archives/edgar/data/927066/000092706626000012/0000927066-26-000012-index.htm" TargetMode="External"/><Relationship Id="rId23" Type="http://schemas.openxmlformats.org/officeDocument/2006/relationships/hyperlink" Target="https://www.sec.gov/Archives/edgar/data/927066/000092706626000012/0000927066-26-000012-index.htm" TargetMode="External"/><Relationship Id="rId24" Type="http://schemas.openxmlformats.org/officeDocument/2006/relationships/hyperlink" Target="https://www.sec.gov/Archives/edgar/data/927066/000092706626000012/0000927066-26-000012-index.htm" TargetMode="External"/><Relationship Id="rId25" Type="http://schemas.openxmlformats.org/officeDocument/2006/relationships/hyperlink" Target="https://www.sec.gov/Archives/edgar/data/927066/000092706626000012/0000927066-26-000012-index.htm" TargetMode="External"/><Relationship Id="rId26" Type="http://schemas.openxmlformats.org/officeDocument/2006/relationships/hyperlink" Target="https://www.sec.gov/Archives/edgar/data/927066/000092706626000012/0000927066-26-000012-index.htm" TargetMode="External"/><Relationship Id="rId27" Type="http://schemas.openxmlformats.org/officeDocument/2006/relationships/hyperlink" Target="https://www.sec.gov/Archives/edgar/data/927066/000092706626000012/0000927066-26-000012-index.htm" TargetMode="External"/><Relationship Id="rId28" Type="http://schemas.openxmlformats.org/officeDocument/2006/relationships/hyperlink" Target="https://www.sec.gov/Archives/edgar/data/927066/000092706626000012/0000927066-26-000012-index.htm" TargetMode="External"/><Relationship Id="rId29" Type="http://schemas.openxmlformats.org/officeDocument/2006/relationships/hyperlink" Target="https://www.sec.gov/Archives/edgar/data/927066/000092706626000012/0000927066-26-000012-index.htm" TargetMode="External"/><Relationship Id="rId30" Type="http://schemas.openxmlformats.org/officeDocument/2006/relationships/hyperlink" Target="https://www.sec.gov/Archives/edgar/data/927066/000092706626000012/0000927066-26-000012-index.htm" TargetMode="External"/><Relationship Id="rId31" Type="http://schemas.openxmlformats.org/officeDocument/2006/relationships/hyperlink" Target="https://www.sec.gov/Archives/edgar/data/927066/000092706626000012/0000927066-26-000012-index.htm" TargetMode="External"/><Relationship Id="rId32" Type="http://schemas.openxmlformats.org/officeDocument/2006/relationships/hyperlink" Target="https://www.sec.gov/Archives/edgar/data/927066/000092706626000012/0000927066-26-000012-index.htm" TargetMode="External"/><Relationship Id="rId33" Type="http://schemas.openxmlformats.org/officeDocument/2006/relationships/hyperlink" Target="https://www.sec.gov/Archives/edgar/data/927066/000092706626000012/0000927066-26-000012-index.htm" TargetMode="External"/><Relationship Id="rId34" Type="http://schemas.openxmlformats.org/officeDocument/2006/relationships/hyperlink" Target="https://www.sec.gov/Archives/edgar/data/927066/000092706626000012/0000927066-26-000012-index.htm" TargetMode="External"/><Relationship Id="rId35" Type="http://schemas.openxmlformats.org/officeDocument/2006/relationships/hyperlink" Target="https://www.sec.gov/Archives/edgar/data/927066/000092706626000012/0000927066-26-000012-index.htm" TargetMode="External"/><Relationship Id="rId36" Type="http://schemas.openxmlformats.org/officeDocument/2006/relationships/hyperlink" Target="https://www.sec.gov/Archives/edgar/data/927066/000092706625000012/0000927066-25-000012-index.htm" TargetMode="External"/><Relationship Id="rId37" Type="http://schemas.openxmlformats.org/officeDocument/2006/relationships/hyperlink" Target="https://www.sec.gov/Archives/edgar/data/927066/000092706626000012/0000927066-26-000012-index.htm" TargetMode="External"/><Relationship Id="rId38" Type="http://schemas.openxmlformats.org/officeDocument/2006/relationships/hyperlink" Target="https://www.sec.gov/Archives/edgar/data/927066/000092706625000012/0000927066-25-000012-index.htm" TargetMode="External"/><Relationship Id="rId39" Type="http://schemas.openxmlformats.org/officeDocument/2006/relationships/hyperlink" Target="https://www.sec.gov/Archives/edgar/data/927066/000092706626000012/0000927066-26-000012-index.htm" TargetMode="External"/><Relationship Id="rId40" Type="http://schemas.openxmlformats.org/officeDocument/2006/relationships/hyperlink" Target="https://www.sec.gov/Archives/edgar/data/927066/000092706625000012/0000927066-25-000012-index.htm" TargetMode="External"/><Relationship Id="rId41" Type="http://schemas.openxmlformats.org/officeDocument/2006/relationships/hyperlink" Target="https://www.sec.gov/Archives/edgar/data/927066/000092706626000012/0000927066-26-000012-index.htm" TargetMode="External"/><Relationship Id="rId4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4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6" min="5" style="0" width="14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26"/>
    <col collapsed="false" customWidth="true" hidden="false" outlineLevel="0" max="10" min="10" style="0" width="34"/>
    <col collapsed="false" customWidth="true" hidden="false" outlineLevel="0" max="11" min="11" style="0" width="44"/>
    <col collapsed="false" customWidth="true" hidden="false" outlineLevel="0" max="12" min="12" style="0" width="20"/>
    <col collapsed="false" customWidth="true" hidden="false" outlineLevel="0" max="13" min="13" style="0" width="50"/>
  </cols>
  <sheetData>
    <row r="1" customFormat="false" ht="17.35" hidden="false" customHeight="false" outlineLevel="0" collapsed="false">
      <c r="A1" s="1" t="s">
        <v>0</v>
      </c>
    </row>
    <row r="3" customFormat="false" ht="91" hidden="false" customHeight="false" outlineLevel="0" collapsed="false">
      <c r="A3" s="2" t="s">
        <v>1</v>
      </c>
      <c r="B3" s="3" t="n">
        <v>1000</v>
      </c>
      <c r="C3" s="4" t="s">
        <v>2</v>
      </c>
    </row>
    <row r="4" customFormat="false" ht="15" hidden="false" customHeight="false" outlineLevel="0" collapsed="false">
      <c r="A4" s="2" t="s">
        <v>3</v>
      </c>
      <c r="B4" s="5" t="n">
        <v>0.01</v>
      </c>
    </row>
    <row r="5" customFormat="false" ht="30" hidden="false" customHeight="true" outlineLevel="0" collapsed="false">
      <c r="A5" s="2" t="s">
        <v>4</v>
      </c>
      <c r="B5" s="6" t="s">
        <v>5</v>
      </c>
      <c r="C5" s="6"/>
      <c r="D5" s="6"/>
      <c r="E5" s="6"/>
      <c r="F5" s="6"/>
      <c r="G5" s="6"/>
      <c r="H5" s="6"/>
      <c r="I5" s="6"/>
      <c r="J5" s="6"/>
      <c r="K5" s="6"/>
      <c r="L5" s="6"/>
    </row>
    <row r="6" customFormat="false" ht="30" hidden="false" customHeight="true" outlineLevel="0" collapsed="false">
      <c r="A6" s="2" t="s">
        <v>6</v>
      </c>
      <c r="B6" s="6" t="s">
        <v>7</v>
      </c>
      <c r="C6" s="6"/>
      <c r="D6" s="6"/>
      <c r="E6" s="6"/>
      <c r="F6" s="6"/>
      <c r="G6" s="6"/>
      <c r="H6" s="6"/>
      <c r="I6" s="6"/>
      <c r="J6" s="6"/>
      <c r="K6" s="6"/>
      <c r="L6" s="6"/>
    </row>
    <row r="8" customFormat="false" ht="15" hidden="false" customHeight="false" outlineLevel="0" collapsed="false">
      <c r="A8" s="2" t="s">
        <v>8</v>
      </c>
      <c r="B8" s="7" t="n">
        <f aca="false">COUNT(F12:F55)</f>
        <v>0</v>
      </c>
      <c r="C8" s="2" t="s">
        <v>9</v>
      </c>
      <c r="D8" s="8" t="str">
        <f aca="false">IF(B8=0,"",B9/B8)</f>
        <v/>
      </c>
    </row>
    <row r="9" customFormat="false" ht="15" hidden="false" customHeight="false" outlineLevel="0" collapsed="false">
      <c r="A9" s="2" t="s">
        <v>10</v>
      </c>
      <c r="B9" s="7" t="n">
        <f aca="false">COUNTIF(H12:H55,"Yes")</f>
        <v>0</v>
      </c>
    </row>
    <row r="11" customFormat="false" ht="23.85" hidden="false" customHeight="false" outlineLevel="0" collapsed="false">
      <c r="A11" s="9" t="s">
        <v>11</v>
      </c>
      <c r="B11" s="9" t="s">
        <v>12</v>
      </c>
      <c r="C11" s="9" t="s">
        <v>13</v>
      </c>
      <c r="D11" s="9" t="s">
        <v>14</v>
      </c>
      <c r="E11" s="9" t="s">
        <v>15</v>
      </c>
      <c r="F11" s="9" t="s">
        <v>16</v>
      </c>
      <c r="G11" s="9" t="s">
        <v>17</v>
      </c>
      <c r="H11" s="9" t="s">
        <v>18</v>
      </c>
      <c r="I11" s="9" t="s">
        <v>19</v>
      </c>
      <c r="J11" s="9" t="s">
        <v>20</v>
      </c>
      <c r="K11" s="9" t="s">
        <v>21</v>
      </c>
      <c r="L11" s="9" t="s">
        <v>22</v>
      </c>
      <c r="M11" s="9" t="s">
        <v>23</v>
      </c>
    </row>
    <row r="12" customFormat="false" ht="15" hidden="false" customHeight="false" outlineLevel="0" collapsed="false">
      <c r="A12" s="10" t="s">
        <v>24</v>
      </c>
      <c r="B12" s="10" t="s">
        <v>25</v>
      </c>
      <c r="C12" s="10" t="s">
        <v>26</v>
      </c>
      <c r="D12" s="11" t="n">
        <v>12815550000</v>
      </c>
      <c r="E12" s="12" t="n">
        <f aca="false">IF(D12="","",D12/$B$3)</f>
        <v>12815550</v>
      </c>
      <c r="F12" s="13"/>
      <c r="G12" s="14" t="str">
        <f aca="false">IF(OR(F12="",E12=""),"",IF(F12=0,IF(E12=0,0,1),(E12-F12)/ABS(F12)))</f>
        <v/>
      </c>
      <c r="H12" s="10" t="str">
        <f aca="false">IF(G12="","",IF(ABS(G12)&lt;=$B$4,"Yes","No"))</f>
        <v/>
      </c>
      <c r="I12" s="15"/>
      <c r="J12" s="10" t="s">
        <v>27</v>
      </c>
      <c r="K12" s="10" t="s">
        <v>28</v>
      </c>
      <c r="L12" s="16" t="s">
        <v>29</v>
      </c>
      <c r="M12" s="10"/>
    </row>
    <row r="13" customFormat="false" ht="15" hidden="false" customHeight="false" outlineLevel="0" collapsed="false">
      <c r="A13" s="10" t="s">
        <v>24</v>
      </c>
      <c r="B13" s="10" t="s">
        <v>25</v>
      </c>
      <c r="C13" s="10" t="s">
        <v>30</v>
      </c>
      <c r="D13" s="11" t="n">
        <v>13643069000</v>
      </c>
      <c r="E13" s="12" t="n">
        <f aca="false">IF(D13="","",D13/$B$3)</f>
        <v>13643069</v>
      </c>
      <c r="F13" s="13"/>
      <c r="G13" s="14" t="str">
        <f aca="false">IF(OR(F13="",E13=""),"",IF(F13=0,IF(E13=0,0,1),(E13-F13)/ABS(F13)))</f>
        <v/>
      </c>
      <c r="H13" s="10" t="str">
        <f aca="false">IF(G13="","",IF(ABS(G13)&lt;=$B$4,"Yes","No"))</f>
        <v/>
      </c>
      <c r="I13" s="15"/>
      <c r="J13" s="10" t="s">
        <v>27</v>
      </c>
      <c r="K13" s="10" t="s">
        <v>28</v>
      </c>
      <c r="L13" s="16" t="s">
        <v>29</v>
      </c>
      <c r="M13" s="10"/>
    </row>
    <row r="14" customFormat="false" ht="15" hidden="false" customHeight="false" outlineLevel="0" collapsed="false">
      <c r="A14" s="10" t="s">
        <v>31</v>
      </c>
      <c r="B14" s="10" t="s">
        <v>32</v>
      </c>
      <c r="C14" s="10" t="s">
        <v>26</v>
      </c>
      <c r="D14" s="11" t="n">
        <v>2090483000</v>
      </c>
      <c r="E14" s="12" t="n">
        <f aca="false">IF(D14="","",D14/$B$3)</f>
        <v>2090483</v>
      </c>
      <c r="F14" s="13"/>
      <c r="G14" s="14" t="str">
        <f aca="false">IF(OR(F14="",E14=""),"",IF(F14=0,IF(E14=0,0,1),(E14-F14)/ABS(F14)))</f>
        <v/>
      </c>
      <c r="H14" s="10" t="str">
        <f aca="false">IF(G14="","",IF(ABS(G14)&lt;=$B$4,"Yes","No"))</f>
        <v/>
      </c>
      <c r="I14" s="15"/>
      <c r="J14" s="10" t="s">
        <v>27</v>
      </c>
      <c r="K14" s="10" t="s">
        <v>33</v>
      </c>
      <c r="L14" s="16" t="s">
        <v>29</v>
      </c>
      <c r="M14" s="10"/>
    </row>
    <row r="15" customFormat="false" ht="15" hidden="false" customHeight="false" outlineLevel="0" collapsed="false">
      <c r="A15" s="10" t="s">
        <v>31</v>
      </c>
      <c r="B15" s="10" t="s">
        <v>32</v>
      </c>
      <c r="C15" s="10" t="s">
        <v>30</v>
      </c>
      <c r="D15" s="11" t="n">
        <v>2043615000</v>
      </c>
      <c r="E15" s="12" t="n">
        <f aca="false">IF(D15="","",D15/$B$3)</f>
        <v>2043615</v>
      </c>
      <c r="F15" s="13"/>
      <c r="G15" s="14" t="str">
        <f aca="false">IF(OR(F15="",E15=""),"",IF(F15=0,IF(E15=0,0,1),(E15-F15)/ABS(F15)))</f>
        <v/>
      </c>
      <c r="H15" s="10" t="str">
        <f aca="false">IF(G15="","",IF(ABS(G15)&lt;=$B$4,"Yes","No"))</f>
        <v/>
      </c>
      <c r="I15" s="15"/>
      <c r="J15" s="10" t="s">
        <v>27</v>
      </c>
      <c r="K15" s="10" t="s">
        <v>33</v>
      </c>
      <c r="L15" s="16" t="s">
        <v>29</v>
      </c>
      <c r="M15" s="10"/>
    </row>
    <row r="16" customFormat="false" ht="15" hidden="false" customHeight="false" outlineLevel="0" collapsed="false">
      <c r="A16" s="10" t="s">
        <v>34</v>
      </c>
      <c r="B16" s="10" t="s">
        <v>35</v>
      </c>
      <c r="C16" s="10" t="s">
        <v>26</v>
      </c>
      <c r="D16" s="11" t="n">
        <v>716396000</v>
      </c>
      <c r="E16" s="12" t="n">
        <f aca="false">IF(D16="","",D16/$B$3)</f>
        <v>716396</v>
      </c>
      <c r="F16" s="13"/>
      <c r="G16" s="14" t="str">
        <f aca="false">IF(OR(F16="",E16=""),"",IF(F16=0,IF(E16=0,0,1),(E16-F16)/ABS(F16)))</f>
        <v/>
      </c>
      <c r="H16" s="10" t="str">
        <f aca="false">IF(G16="","",IF(ABS(G16)&lt;=$B$4,"Yes","No"))</f>
        <v/>
      </c>
      <c r="I16" s="15"/>
      <c r="J16" s="10" t="s">
        <v>36</v>
      </c>
      <c r="K16" s="10" t="s">
        <v>37</v>
      </c>
      <c r="L16" s="16" t="s">
        <v>29</v>
      </c>
      <c r="M16" s="10"/>
    </row>
    <row r="17" customFormat="false" ht="15" hidden="false" customHeight="false" outlineLevel="0" collapsed="false">
      <c r="A17" s="10" t="s">
        <v>34</v>
      </c>
      <c r="B17" s="10" t="s">
        <v>35</v>
      </c>
      <c r="C17" s="10" t="s">
        <v>30</v>
      </c>
      <c r="D17" s="11" t="n">
        <v>708252000</v>
      </c>
      <c r="E17" s="12" t="n">
        <f aca="false">IF(D17="","",D17/$B$3)</f>
        <v>708252</v>
      </c>
      <c r="F17" s="13"/>
      <c r="G17" s="14" t="str">
        <f aca="false">IF(OR(F17="",E17=""),"",IF(F17=0,IF(E17=0,0,1),(E17-F17)/ABS(F17)))</f>
        <v/>
      </c>
      <c r="H17" s="10" t="str">
        <f aca="false">IF(G17="","",IF(ABS(G17)&lt;=$B$4,"Yes","No"))</f>
        <v/>
      </c>
      <c r="I17" s="15"/>
      <c r="J17" s="10" t="s">
        <v>36</v>
      </c>
      <c r="K17" s="10" t="s">
        <v>37</v>
      </c>
      <c r="L17" s="16" t="s">
        <v>29</v>
      </c>
      <c r="M17" s="10"/>
    </row>
    <row r="18" customFormat="false" ht="15" hidden="false" customHeight="false" outlineLevel="0" collapsed="false">
      <c r="A18" s="10" t="s">
        <v>38</v>
      </c>
      <c r="B18" s="10" t="s">
        <v>39</v>
      </c>
      <c r="C18" s="10" t="s">
        <v>26</v>
      </c>
      <c r="D18" s="11" t="n">
        <v>435203000</v>
      </c>
      <c r="E18" s="12" t="n">
        <f aca="false">IF(D18="","",D18/$B$3)</f>
        <v>435203</v>
      </c>
      <c r="F18" s="13"/>
      <c r="G18" s="14" t="str">
        <f aca="false">IF(OR(F18="",E18=""),"",IF(F18=0,IF(E18=0,0,1),(E18-F18)/ABS(F18)))</f>
        <v/>
      </c>
      <c r="H18" s="10" t="str">
        <f aca="false">IF(G18="","",IF(ABS(G18)&lt;=$B$4,"Yes","No"))</f>
        <v/>
      </c>
      <c r="I18" s="15"/>
      <c r="J18" s="10" t="s">
        <v>27</v>
      </c>
      <c r="K18" s="10" t="s">
        <v>40</v>
      </c>
      <c r="L18" s="16" t="s">
        <v>29</v>
      </c>
      <c r="M18" s="10"/>
    </row>
    <row r="19" customFormat="false" ht="15" hidden="false" customHeight="false" outlineLevel="0" collapsed="false">
      <c r="A19" s="10" t="s">
        <v>38</v>
      </c>
      <c r="B19" s="10" t="s">
        <v>39</v>
      </c>
      <c r="C19" s="10" t="s">
        <v>30</v>
      </c>
      <c r="D19" s="11" t="n">
        <v>539924000</v>
      </c>
      <c r="E19" s="12" t="n">
        <f aca="false">IF(D19="","",D19/$B$3)</f>
        <v>539924</v>
      </c>
      <c r="F19" s="13"/>
      <c r="G19" s="14" t="str">
        <f aca="false">IF(OR(F19="",E19=""),"",IF(F19=0,IF(E19=0,0,1),(E19-F19)/ABS(F19)))</f>
        <v/>
      </c>
      <c r="H19" s="10" t="str">
        <f aca="false">IF(G19="","",IF(ABS(G19)&lt;=$B$4,"Yes","No"))</f>
        <v/>
      </c>
      <c r="I19" s="15"/>
      <c r="J19" s="10" t="s">
        <v>27</v>
      </c>
      <c r="K19" s="10" t="s">
        <v>40</v>
      </c>
      <c r="L19" s="16" t="s">
        <v>29</v>
      </c>
      <c r="M19" s="10"/>
    </row>
    <row r="20" customFormat="false" ht="15" hidden="false" customHeight="false" outlineLevel="0" collapsed="false">
      <c r="A20" s="10" t="s">
        <v>41</v>
      </c>
      <c r="B20" s="10" t="s">
        <v>42</v>
      </c>
      <c r="C20" s="10" t="s">
        <v>26</v>
      </c>
      <c r="D20" s="11" t="n">
        <v>1530393000</v>
      </c>
      <c r="E20" s="12" t="n">
        <f aca="false">IF(D20="","",D20/$B$3)</f>
        <v>1530393</v>
      </c>
      <c r="F20" s="13"/>
      <c r="G20" s="14" t="str">
        <f aca="false">IF(OR(F20="",E20=""),"",IF(F20=0,IF(E20=0,0,1),(E20-F20)/ABS(F20)))</f>
        <v/>
      </c>
      <c r="H20" s="10" t="str">
        <f aca="false">IF(G20="","",IF(ABS(G20)&lt;=$B$4,"Yes","No"))</f>
        <v/>
      </c>
      <c r="I20" s="15"/>
      <c r="J20" s="10" t="s">
        <v>27</v>
      </c>
      <c r="K20" s="10" t="s">
        <v>43</v>
      </c>
      <c r="L20" s="16" t="s">
        <v>29</v>
      </c>
      <c r="M20" s="10"/>
    </row>
    <row r="21" customFormat="false" ht="15" hidden="false" customHeight="false" outlineLevel="0" collapsed="false">
      <c r="A21" s="10" t="s">
        <v>41</v>
      </c>
      <c r="B21" s="10" t="s">
        <v>42</v>
      </c>
      <c r="C21" s="10" t="s">
        <v>30</v>
      </c>
      <c r="D21" s="11" t="n">
        <v>1346823000</v>
      </c>
      <c r="E21" s="12" t="n">
        <f aca="false">IF(D21="","",D21/$B$3)</f>
        <v>1346823</v>
      </c>
      <c r="F21" s="13"/>
      <c r="G21" s="14" t="str">
        <f aca="false">IF(OR(F21="",E21=""),"",IF(F21=0,IF(E21=0,0,1),(E21-F21)/ABS(F21)))</f>
        <v/>
      </c>
      <c r="H21" s="10" t="str">
        <f aca="false">IF(G21="","",IF(ABS(G21)&lt;=$B$4,"Yes","No"))</f>
        <v/>
      </c>
      <c r="I21" s="15"/>
      <c r="J21" s="10" t="s">
        <v>27</v>
      </c>
      <c r="K21" s="10" t="s">
        <v>43</v>
      </c>
      <c r="L21" s="16" t="s">
        <v>29</v>
      </c>
      <c r="M21" s="10"/>
    </row>
    <row r="22" customFormat="false" ht="15" hidden="false" customHeight="false" outlineLevel="0" collapsed="false">
      <c r="A22" s="10" t="s">
        <v>44</v>
      </c>
      <c r="B22" s="10" t="s">
        <v>45</v>
      </c>
      <c r="C22" s="10" t="s">
        <v>26</v>
      </c>
      <c r="D22" s="11" t="n">
        <v>936342000</v>
      </c>
      <c r="E22" s="12" t="n">
        <f aca="false">IF(D22="","",D22/$B$3)</f>
        <v>936342</v>
      </c>
      <c r="F22" s="13"/>
      <c r="G22" s="14" t="str">
        <f aca="false">IF(OR(F22="",E22=""),"",IF(F22=0,IF(E22=0,0,1),(E22-F22)/ABS(F22)))</f>
        <v/>
      </c>
      <c r="H22" s="10" t="str">
        <f aca="false">IF(G22="","",IF(ABS(G22)&lt;=$B$4,"Yes","No"))</f>
        <v/>
      </c>
      <c r="I22" s="15"/>
      <c r="J22" s="10" t="s">
        <v>27</v>
      </c>
      <c r="K22" s="10" t="s">
        <v>46</v>
      </c>
      <c r="L22" s="16" t="s">
        <v>29</v>
      </c>
      <c r="M22" s="10"/>
    </row>
    <row r="23" customFormat="false" ht="15" hidden="false" customHeight="false" outlineLevel="0" collapsed="false">
      <c r="A23" s="10" t="s">
        <v>44</v>
      </c>
      <c r="B23" s="10" t="s">
        <v>45</v>
      </c>
      <c r="C23" s="10" t="s">
        <v>30</v>
      </c>
      <c r="D23" s="11" t="n">
        <v>746803000</v>
      </c>
      <c r="E23" s="12" t="n">
        <f aca="false">IF(D23="","",D23/$B$3)</f>
        <v>746803</v>
      </c>
      <c r="F23" s="13"/>
      <c r="G23" s="14" t="str">
        <f aca="false">IF(OR(F23="",E23=""),"",IF(F23=0,IF(E23=0,0,1),(E23-F23)/ABS(F23)))</f>
        <v/>
      </c>
      <c r="H23" s="10" t="str">
        <f aca="false">IF(G23="","",IF(ABS(G23)&lt;=$B$4,"Yes","No"))</f>
        <v/>
      </c>
      <c r="I23" s="15"/>
      <c r="J23" s="10" t="s">
        <v>27</v>
      </c>
      <c r="K23" s="10" t="s">
        <v>46</v>
      </c>
      <c r="L23" s="16" t="s">
        <v>29</v>
      </c>
      <c r="M23" s="10"/>
    </row>
    <row r="24" customFormat="false" ht="15" hidden="false" customHeight="false" outlineLevel="0" collapsed="false">
      <c r="A24" s="10" t="s">
        <v>47</v>
      </c>
      <c r="B24" s="10" t="s">
        <v>48</v>
      </c>
      <c r="C24" s="10" t="s">
        <v>26</v>
      </c>
      <c r="D24" s="11" t="n">
        <v>2022038000</v>
      </c>
      <c r="E24" s="12" t="n">
        <f aca="false">IF(D24="","",D24/$B$3)</f>
        <v>2022038</v>
      </c>
      <c r="F24" s="13"/>
      <c r="G24" s="14" t="str">
        <f aca="false">IF(OR(F24="",E24=""),"",IF(F24=0,IF(E24=0,0,1),(E24-F24)/ABS(F24)))</f>
        <v/>
      </c>
      <c r="H24" s="10" t="str">
        <f aca="false">IF(G24="","",IF(ABS(G24)&lt;=$B$4,"Yes","No"))</f>
        <v/>
      </c>
      <c r="I24" s="15"/>
      <c r="J24" s="10" t="s">
        <v>49</v>
      </c>
      <c r="K24" s="10" t="s">
        <v>50</v>
      </c>
      <c r="L24" s="16" t="s">
        <v>29</v>
      </c>
      <c r="M24" s="10"/>
    </row>
    <row r="25" customFormat="false" ht="15" hidden="false" customHeight="false" outlineLevel="0" collapsed="false">
      <c r="A25" s="10" t="s">
        <v>47</v>
      </c>
      <c r="B25" s="10" t="s">
        <v>48</v>
      </c>
      <c r="C25" s="10" t="s">
        <v>30</v>
      </c>
      <c r="D25" s="11" t="n">
        <v>1886500000</v>
      </c>
      <c r="E25" s="12" t="n">
        <f aca="false">IF(D25="","",D25/$B$3)</f>
        <v>1886500</v>
      </c>
      <c r="F25" s="13"/>
      <c r="G25" s="14" t="str">
        <f aca="false">IF(OR(F25="",E25=""),"",IF(F25=0,IF(E25=0,0,1),(E25-F25)/ABS(F25)))</f>
        <v/>
      </c>
      <c r="H25" s="10" t="str">
        <f aca="false">IF(G25="","",IF(ABS(G25)&lt;=$B$4,"Yes","No"))</f>
        <v/>
      </c>
      <c r="I25" s="15"/>
      <c r="J25" s="10" t="s">
        <v>49</v>
      </c>
      <c r="K25" s="10" t="s">
        <v>50</v>
      </c>
      <c r="L25" s="16" t="s">
        <v>29</v>
      </c>
      <c r="M25" s="10"/>
    </row>
    <row r="26" customFormat="false" ht="15" hidden="false" customHeight="false" outlineLevel="0" collapsed="false">
      <c r="A26" s="10" t="s">
        <v>51</v>
      </c>
      <c r="B26" s="10" t="s">
        <v>52</v>
      </c>
      <c r="C26" s="10" t="s">
        <v>26</v>
      </c>
      <c r="D26" s="11" t="n">
        <v>555443000</v>
      </c>
      <c r="E26" s="12" t="n">
        <f aca="false">IF(D26="","",D26/$B$3)</f>
        <v>555443</v>
      </c>
      <c r="F26" s="13"/>
      <c r="G26" s="14" t="str">
        <f aca="false">IF(OR(F26="",E26=""),"",IF(F26=0,IF(E26=0,0,1),(E26-F26)/ABS(F26)))</f>
        <v/>
      </c>
      <c r="H26" s="10" t="str">
        <f aca="false">IF(G26="","",IF(ABS(G26)&lt;=$B$4,"Yes","No"))</f>
        <v/>
      </c>
      <c r="I26" s="15"/>
      <c r="J26" s="10" t="s">
        <v>53</v>
      </c>
      <c r="K26" s="10" t="s">
        <v>54</v>
      </c>
      <c r="L26" s="16" t="s">
        <v>29</v>
      </c>
      <c r="M26" s="10"/>
    </row>
    <row r="27" customFormat="false" ht="15" hidden="false" customHeight="false" outlineLevel="0" collapsed="false">
      <c r="A27" s="10" t="s">
        <v>51</v>
      </c>
      <c r="B27" s="10" t="s">
        <v>52</v>
      </c>
      <c r="C27" s="10" t="s">
        <v>30</v>
      </c>
      <c r="D27" s="11" t="n">
        <v>575864000</v>
      </c>
      <c r="E27" s="12" t="n">
        <f aca="false">IF(D27="","",D27/$B$3)</f>
        <v>575864</v>
      </c>
      <c r="F27" s="13"/>
      <c r="G27" s="14" t="str">
        <f aca="false">IF(OR(F27="",E27=""),"",IF(F27=0,IF(E27=0,0,1),(E27-F27)/ABS(F27)))</f>
        <v/>
      </c>
      <c r="H27" s="10" t="str">
        <f aca="false">IF(G27="","",IF(ABS(G27)&lt;=$B$4,"Yes","No"))</f>
        <v/>
      </c>
      <c r="I27" s="15"/>
      <c r="J27" s="10" t="s">
        <v>53</v>
      </c>
      <c r="K27" s="10" t="s">
        <v>54</v>
      </c>
      <c r="L27" s="16" t="s">
        <v>29</v>
      </c>
      <c r="M27" s="10"/>
    </row>
    <row r="28" customFormat="false" ht="15" hidden="false" customHeight="false" outlineLevel="0" collapsed="false">
      <c r="A28" s="10" t="s">
        <v>55</v>
      </c>
      <c r="B28" s="10" t="s">
        <v>56</v>
      </c>
      <c r="C28" s="10" t="s">
        <v>26</v>
      </c>
      <c r="D28" s="11" t="n">
        <v>387940000</v>
      </c>
      <c r="E28" s="12" t="n">
        <f aca="false">IF(D28="","",D28/$B$3)</f>
        <v>387940</v>
      </c>
      <c r="F28" s="13"/>
      <c r="G28" s="14" t="str">
        <f aca="false">IF(OR(F28="",E28=""),"",IF(F28=0,IF(E28=0,0,1),(E28-F28)/ABS(F28)))</f>
        <v/>
      </c>
      <c r="H28" s="10" t="str">
        <f aca="false">IF(G28="","",IF(ABS(G28)&lt;=$B$4,"Yes","No"))</f>
        <v/>
      </c>
      <c r="I28" s="15"/>
      <c r="J28" s="10" t="s">
        <v>57</v>
      </c>
      <c r="K28" s="10" t="s">
        <v>58</v>
      </c>
      <c r="L28" s="16" t="s">
        <v>29</v>
      </c>
      <c r="M28" s="10"/>
    </row>
    <row r="29" customFormat="false" ht="15" hidden="false" customHeight="false" outlineLevel="0" collapsed="false">
      <c r="A29" s="10" t="s">
        <v>55</v>
      </c>
      <c r="B29" s="10" t="s">
        <v>56</v>
      </c>
      <c r="C29" s="10" t="s">
        <v>30</v>
      </c>
      <c r="D29" s="11" t="n">
        <v>176688000</v>
      </c>
      <c r="E29" s="12" t="n">
        <f aca="false">IF(D29="","",D29/$B$3)</f>
        <v>176688</v>
      </c>
      <c r="F29" s="13"/>
      <c r="G29" s="14" t="str">
        <f aca="false">IF(OR(F29="",E29=""),"",IF(F29=0,IF(E29=0,0,1),(E29-F29)/ABS(F29)))</f>
        <v/>
      </c>
      <c r="H29" s="10" t="str">
        <f aca="false">IF(G29="","",IF(ABS(G29)&lt;=$B$4,"Yes","No"))</f>
        <v/>
      </c>
      <c r="I29" s="15"/>
      <c r="J29" s="10" t="s">
        <v>57</v>
      </c>
      <c r="K29" s="10" t="s">
        <v>58</v>
      </c>
      <c r="L29" s="16" t="s">
        <v>29</v>
      </c>
      <c r="M29" s="10"/>
    </row>
    <row r="30" customFormat="false" ht="15" hidden="false" customHeight="false" outlineLevel="0" collapsed="false">
      <c r="A30" s="10" t="s">
        <v>59</v>
      </c>
      <c r="B30" s="10" t="s">
        <v>60</v>
      </c>
      <c r="C30" s="10" t="s">
        <v>26</v>
      </c>
      <c r="D30" s="11" t="n">
        <v>689130000</v>
      </c>
      <c r="E30" s="12" t="n">
        <f aca="false">IF(D30="","",D30/$B$3)</f>
        <v>689130</v>
      </c>
      <c r="F30" s="13"/>
      <c r="G30" s="14" t="str">
        <f aca="false">IF(OR(F30="",E30=""),"",IF(F30=0,IF(E30=0,0,1),(E30-F30)/ABS(F30)))</f>
        <v/>
      </c>
      <c r="H30" s="10" t="str">
        <f aca="false">IF(G30="","",IF(ABS(G30)&lt;=$B$4,"Yes","No"))</f>
        <v/>
      </c>
      <c r="I30" s="15"/>
      <c r="J30" s="10" t="s">
        <v>61</v>
      </c>
      <c r="K30" s="10" t="s">
        <v>62</v>
      </c>
      <c r="L30" s="16" t="s">
        <v>29</v>
      </c>
      <c r="M30" s="10"/>
    </row>
    <row r="31" customFormat="false" ht="15" hidden="false" customHeight="false" outlineLevel="0" collapsed="false">
      <c r="A31" s="10" t="s">
        <v>59</v>
      </c>
      <c r="B31" s="10" t="s">
        <v>60</v>
      </c>
      <c r="C31" s="10" t="s">
        <v>30</v>
      </c>
      <c r="D31" s="11" t="n">
        <v>702180000</v>
      </c>
      <c r="E31" s="12" t="n">
        <f aca="false">IF(D31="","",D31/$B$3)</f>
        <v>702180</v>
      </c>
      <c r="F31" s="13"/>
      <c r="G31" s="14" t="str">
        <f aca="false">IF(OR(F31="",E31=""),"",IF(F31=0,IF(E31=0,0,1),(E31-F31)/ABS(F31)))</f>
        <v/>
      </c>
      <c r="H31" s="10" t="str">
        <f aca="false">IF(G31="","",IF(ABS(G31)&lt;=$B$4,"Yes","No"))</f>
        <v/>
      </c>
      <c r="I31" s="15"/>
      <c r="J31" s="10" t="s">
        <v>61</v>
      </c>
      <c r="K31" s="10" t="s">
        <v>62</v>
      </c>
      <c r="L31" s="16" t="s">
        <v>29</v>
      </c>
      <c r="M31" s="10"/>
    </row>
    <row r="32" customFormat="false" ht="15" hidden="false" customHeight="false" outlineLevel="0" collapsed="false">
      <c r="A32" s="10" t="s">
        <v>63</v>
      </c>
      <c r="B32" s="10" t="s">
        <v>64</v>
      </c>
      <c r="C32" s="10" t="s">
        <v>26</v>
      </c>
      <c r="D32" s="11" t="n">
        <v>794933000</v>
      </c>
      <c r="E32" s="12" t="n">
        <f aca="false">IF(D32="","",D32/$B$3)</f>
        <v>794933</v>
      </c>
      <c r="F32" s="13"/>
      <c r="G32" s="14" t="str">
        <f aca="false">IF(OR(F32="",E32=""),"",IF(F32=0,IF(E32=0,0,1),(E32-F32)/ABS(F32)))</f>
        <v/>
      </c>
      <c r="H32" s="10" t="str">
        <f aca="false">IF(G32="","",IF(ABS(G32)&lt;=$B$4,"Yes","No"))</f>
        <v/>
      </c>
      <c r="I32" s="15"/>
      <c r="J32" s="10" t="s">
        <v>65</v>
      </c>
      <c r="K32" s="10" t="s">
        <v>66</v>
      </c>
      <c r="L32" s="16" t="s">
        <v>29</v>
      </c>
      <c r="M32" s="10"/>
    </row>
    <row r="33" customFormat="false" ht="15" hidden="false" customHeight="false" outlineLevel="0" collapsed="false">
      <c r="A33" s="10" t="s">
        <v>63</v>
      </c>
      <c r="B33" s="10" t="s">
        <v>64</v>
      </c>
      <c r="C33" s="10" t="s">
        <v>30</v>
      </c>
      <c r="D33" s="11" t="n">
        <v>676438000</v>
      </c>
      <c r="E33" s="12" t="n">
        <f aca="false">IF(D33="","",D33/$B$3)</f>
        <v>676438</v>
      </c>
      <c r="F33" s="13"/>
      <c r="G33" s="14" t="str">
        <f aca="false">IF(OR(F33="",E33=""),"",IF(F33=0,IF(E33=0,0,1),(E33-F33)/ABS(F33)))</f>
        <v/>
      </c>
      <c r="H33" s="10" t="str">
        <f aca="false">IF(G33="","",IF(ABS(G33)&lt;=$B$4,"Yes","No"))</f>
        <v/>
      </c>
      <c r="I33" s="15"/>
      <c r="J33" s="10" t="s">
        <v>65</v>
      </c>
      <c r="K33" s="10" t="s">
        <v>66</v>
      </c>
      <c r="L33" s="16" t="s">
        <v>29</v>
      </c>
      <c r="M33" s="10"/>
    </row>
    <row r="34" customFormat="false" ht="15" hidden="false" customHeight="false" outlineLevel="0" collapsed="false">
      <c r="A34" s="10" t="s">
        <v>67</v>
      </c>
      <c r="B34" s="10" t="s">
        <v>68</v>
      </c>
      <c r="C34" s="10" t="s">
        <v>26</v>
      </c>
      <c r="D34" s="11" t="n">
        <v>3746072000</v>
      </c>
      <c r="E34" s="12" t="n">
        <f aca="false">IF(D34="","",D34/$B$3)</f>
        <v>3746072</v>
      </c>
      <c r="F34" s="13"/>
      <c r="G34" s="14" t="str">
        <f aca="false">IF(OR(F34="",E34=""),"",IF(F34=0,IF(E34=0,0,1),(E34-F34)/ABS(F34)))</f>
        <v/>
      </c>
      <c r="H34" s="10" t="str">
        <f aca="false">IF(G34="","",IF(ABS(G34)&lt;=$B$4,"Yes","No"))</f>
        <v/>
      </c>
      <c r="I34" s="15"/>
      <c r="J34" s="10" t="s">
        <v>65</v>
      </c>
      <c r="K34" s="10" t="s">
        <v>69</v>
      </c>
      <c r="L34" s="16" t="s">
        <v>29</v>
      </c>
      <c r="M34" s="10"/>
    </row>
    <row r="35" customFormat="false" ht="15" hidden="false" customHeight="false" outlineLevel="0" collapsed="false">
      <c r="A35" s="10" t="s">
        <v>67</v>
      </c>
      <c r="B35" s="10" t="s">
        <v>68</v>
      </c>
      <c r="C35" s="10" t="s">
        <v>30</v>
      </c>
      <c r="D35" s="11" t="n">
        <v>4058003000</v>
      </c>
      <c r="E35" s="12" t="n">
        <f aca="false">IF(D35="","",D35/$B$3)</f>
        <v>4058003</v>
      </c>
      <c r="F35" s="13"/>
      <c r="G35" s="14" t="str">
        <f aca="false">IF(OR(F35="",E35=""),"",IF(F35=0,IF(E35=0,0,1),(E35-F35)/ABS(F35)))</f>
        <v/>
      </c>
      <c r="H35" s="10" t="str">
        <f aca="false">IF(G35="","",IF(ABS(G35)&lt;=$B$4,"Yes","No"))</f>
        <v/>
      </c>
      <c r="I35" s="15"/>
      <c r="J35" s="10" t="s">
        <v>65</v>
      </c>
      <c r="K35" s="10" t="s">
        <v>69</v>
      </c>
      <c r="L35" s="16" t="s">
        <v>29</v>
      </c>
      <c r="M35" s="10"/>
    </row>
    <row r="36" customFormat="false" ht="15" hidden="false" customHeight="false" outlineLevel="0" collapsed="false">
      <c r="A36" s="10" t="s">
        <v>70</v>
      </c>
      <c r="B36" s="10" t="s">
        <v>71</v>
      </c>
      <c r="C36" s="10" t="s">
        <v>26</v>
      </c>
      <c r="D36" s="11" t="n">
        <v>2973410000</v>
      </c>
      <c r="E36" s="12" t="n">
        <f aca="false">IF(D36="","",D36/$B$3)</f>
        <v>2973410</v>
      </c>
      <c r="F36" s="13"/>
      <c r="G36" s="14" t="str">
        <f aca="false">IF(OR(F36="",E36=""),"",IF(F36=0,IF(E36=0,0,1),(E36-F36)/ABS(F36)))</f>
        <v/>
      </c>
      <c r="H36" s="10" t="str">
        <f aca="false">IF(G36="","",IF(ABS(G36)&lt;=$B$4,"Yes","No"))</f>
        <v/>
      </c>
      <c r="I36" s="15"/>
      <c r="J36" s="10" t="s">
        <v>65</v>
      </c>
      <c r="K36" s="10" t="s">
        <v>72</v>
      </c>
      <c r="L36" s="16" t="s">
        <v>29</v>
      </c>
      <c r="M36" s="10"/>
    </row>
    <row r="37" customFormat="false" ht="15" hidden="false" customHeight="false" outlineLevel="0" collapsed="false">
      <c r="A37" s="10" t="s">
        <v>70</v>
      </c>
      <c r="B37" s="10" t="s">
        <v>71</v>
      </c>
      <c r="C37" s="10" t="s">
        <v>30</v>
      </c>
      <c r="D37" s="11" t="n">
        <v>3141634000</v>
      </c>
      <c r="E37" s="12" t="n">
        <f aca="false">IF(D37="","",D37/$B$3)</f>
        <v>3141634</v>
      </c>
      <c r="F37" s="13"/>
      <c r="G37" s="14" t="str">
        <f aca="false">IF(OR(F37="",E37=""),"",IF(F37=0,IF(E37=0,0,1),(E37-F37)/ABS(F37)))</f>
        <v/>
      </c>
      <c r="H37" s="10" t="str">
        <f aca="false">IF(G37="","",IF(ABS(G37)&lt;=$B$4,"Yes","No"))</f>
        <v/>
      </c>
      <c r="I37" s="15"/>
      <c r="J37" s="10" t="s">
        <v>65</v>
      </c>
      <c r="K37" s="10" t="s">
        <v>72</v>
      </c>
      <c r="L37" s="16" t="s">
        <v>29</v>
      </c>
      <c r="M37" s="10"/>
    </row>
    <row r="38" customFormat="false" ht="15" hidden="false" customHeight="false" outlineLevel="0" collapsed="false">
      <c r="A38" s="10" t="s">
        <v>73</v>
      </c>
      <c r="B38" s="10" t="s">
        <v>74</v>
      </c>
      <c r="C38" s="10" t="s">
        <v>26</v>
      </c>
      <c r="D38" s="11" t="n">
        <v>17285268000</v>
      </c>
      <c r="E38" s="12" t="n">
        <f aca="false">IF(D38="","",D38/$B$3)</f>
        <v>17285268</v>
      </c>
      <c r="F38" s="13"/>
      <c r="G38" s="14" t="str">
        <f aca="false">IF(OR(F38="",E38=""),"",IF(F38=0,IF(E38=0,0,1),(E38-F38)/ABS(F38)))</f>
        <v/>
      </c>
      <c r="H38" s="10" t="str">
        <f aca="false">IF(G38="","",IF(ABS(G38)&lt;=$B$4,"Yes","No"))</f>
        <v/>
      </c>
      <c r="I38" s="15"/>
      <c r="J38" s="10" t="s">
        <v>65</v>
      </c>
      <c r="K38" s="10" t="s">
        <v>75</v>
      </c>
      <c r="L38" s="16" t="s">
        <v>29</v>
      </c>
      <c r="M38" s="10"/>
    </row>
    <row r="39" customFormat="false" ht="15" hidden="false" customHeight="false" outlineLevel="0" collapsed="false">
      <c r="A39" s="10" t="s">
        <v>73</v>
      </c>
      <c r="B39" s="10" t="s">
        <v>74</v>
      </c>
      <c r="C39" s="10" t="s">
        <v>30</v>
      </c>
      <c r="D39" s="11" t="n">
        <v>17480103000</v>
      </c>
      <c r="E39" s="12" t="n">
        <f aca="false">IF(D39="","",D39/$B$3)</f>
        <v>17480103</v>
      </c>
      <c r="F39" s="13"/>
      <c r="G39" s="14" t="str">
        <f aca="false">IF(OR(F39="",E39=""),"",IF(F39=0,IF(E39=0,0,1),(E39-F39)/ABS(F39)))</f>
        <v/>
      </c>
      <c r="H39" s="10" t="str">
        <f aca="false">IF(G39="","",IF(ABS(G39)&lt;=$B$4,"Yes","No"))</f>
        <v/>
      </c>
      <c r="I39" s="15"/>
      <c r="J39" s="10" t="s">
        <v>65</v>
      </c>
      <c r="K39" s="10" t="s">
        <v>75</v>
      </c>
      <c r="L39" s="16" t="s">
        <v>29</v>
      </c>
      <c r="M39" s="10"/>
    </row>
    <row r="40" customFormat="false" ht="15" hidden="false" customHeight="false" outlineLevel="0" collapsed="false">
      <c r="A40" s="10" t="s">
        <v>76</v>
      </c>
      <c r="B40" s="10" t="s">
        <v>77</v>
      </c>
      <c r="C40" s="10" t="s">
        <v>26</v>
      </c>
      <c r="D40" s="11" t="n">
        <v>121122000</v>
      </c>
      <c r="E40" s="12" t="n">
        <f aca="false">IF(D40="","",D40/$B$3)</f>
        <v>121122</v>
      </c>
      <c r="F40" s="13"/>
      <c r="G40" s="14" t="str">
        <f aca="false">IF(OR(F40="",E40=""),"",IF(F40=0,IF(E40=0,0,1),(E40-F40)/ABS(F40)))</f>
        <v/>
      </c>
      <c r="H40" s="10" t="str">
        <f aca="false">IF(G40="","",IF(ABS(G40)&lt;=$B$4,"Yes","No"))</f>
        <v/>
      </c>
      <c r="I40" s="15"/>
      <c r="J40" s="10" t="s">
        <v>65</v>
      </c>
      <c r="K40" s="10" t="s">
        <v>78</v>
      </c>
      <c r="L40" s="16" t="s">
        <v>29</v>
      </c>
      <c r="M40" s="10"/>
    </row>
    <row r="41" customFormat="false" ht="15" hidden="false" customHeight="false" outlineLevel="0" collapsed="false">
      <c r="A41" s="10" t="s">
        <v>76</v>
      </c>
      <c r="B41" s="10" t="s">
        <v>77</v>
      </c>
      <c r="C41" s="10" t="s">
        <v>30</v>
      </c>
      <c r="D41" s="11" t="n">
        <v>-651082000</v>
      </c>
      <c r="E41" s="12" t="n">
        <f aca="false">IF(D41="","",D41/$B$3)</f>
        <v>-651082</v>
      </c>
      <c r="F41" s="13"/>
      <c r="G41" s="14" t="str">
        <f aca="false">IF(OR(F41="",E41=""),"",IF(F41=0,IF(E41=0,0,1),(E41-F41)/ABS(F41)))</f>
        <v/>
      </c>
      <c r="H41" s="10" t="str">
        <f aca="false">IF(G41="","",IF(ABS(G41)&lt;=$B$4,"Yes","No"))</f>
        <v/>
      </c>
      <c r="I41" s="15"/>
      <c r="J41" s="10" t="s">
        <v>65</v>
      </c>
      <c r="K41" s="10" t="s">
        <v>78</v>
      </c>
      <c r="L41" s="16" t="s">
        <v>29</v>
      </c>
      <c r="M41" s="10"/>
    </row>
    <row r="42" customFormat="false" ht="15" hidden="false" customHeight="false" outlineLevel="0" collapsed="false">
      <c r="A42" s="10" t="s">
        <v>79</v>
      </c>
      <c r="B42" s="10" t="s">
        <v>80</v>
      </c>
      <c r="C42" s="10" t="s">
        <v>26</v>
      </c>
      <c r="D42" s="11" t="n">
        <v>0</v>
      </c>
      <c r="E42" s="12" t="n">
        <f aca="false">IF(D42="","",D42/$B$3)</f>
        <v>0</v>
      </c>
      <c r="F42" s="13"/>
      <c r="G42" s="14" t="str">
        <f aca="false">IF(OR(F42="",E42=""),"",IF(F42=0,IF(E42=0,0,1),(E42-F42)/ABS(F42)))</f>
        <v/>
      </c>
      <c r="H42" s="10" t="str">
        <f aca="false">IF(G42="","",IF(ABS(G42)&lt;=$B$4,"Yes","No"))</f>
        <v/>
      </c>
      <c r="I42" s="15"/>
      <c r="J42" s="10" t="s">
        <v>81</v>
      </c>
      <c r="K42" s="10" t="s">
        <v>82</v>
      </c>
      <c r="M42" s="10" t="s">
        <v>83</v>
      </c>
    </row>
    <row r="43" customFormat="false" ht="15" hidden="false" customHeight="false" outlineLevel="0" collapsed="false">
      <c r="A43" s="10" t="s">
        <v>79</v>
      </c>
      <c r="B43" s="10" t="s">
        <v>80</v>
      </c>
      <c r="C43" s="10" t="s">
        <v>30</v>
      </c>
      <c r="D43" s="11" t="n">
        <v>0</v>
      </c>
      <c r="E43" s="12" t="n">
        <f aca="false">IF(D43="","",D43/$B$3)</f>
        <v>0</v>
      </c>
      <c r="F43" s="13"/>
      <c r="G43" s="14" t="str">
        <f aca="false">IF(OR(F43="",E43=""),"",IF(F43=0,IF(E43=0,0,1),(E43-F43)/ABS(F43)))</f>
        <v/>
      </c>
      <c r="H43" s="10" t="str">
        <f aca="false">IF(G43="","",IF(ABS(G43)&lt;=$B$4,"Yes","No"))</f>
        <v/>
      </c>
      <c r="I43" s="15"/>
      <c r="J43" s="10" t="s">
        <v>81</v>
      </c>
      <c r="K43" s="10" t="s">
        <v>82</v>
      </c>
      <c r="M43" s="10" t="s">
        <v>83</v>
      </c>
    </row>
    <row r="44" customFormat="false" ht="15" hidden="false" customHeight="false" outlineLevel="0" collapsed="false">
      <c r="A44" s="10" t="s">
        <v>84</v>
      </c>
      <c r="B44" s="10" t="s">
        <v>85</v>
      </c>
      <c r="C44" s="10" t="s">
        <v>26</v>
      </c>
      <c r="D44" s="11" t="n">
        <v>0</v>
      </c>
      <c r="E44" s="12" t="n">
        <f aca="false">IF(D44="","",D44/$B$3)</f>
        <v>0</v>
      </c>
      <c r="F44" s="13"/>
      <c r="G44" s="14" t="str">
        <f aca="false">IF(OR(F44="",E44=""),"",IF(F44=0,IF(E44=0,0,1),(E44-F44)/ABS(F44)))</f>
        <v/>
      </c>
      <c r="H44" s="10" t="str">
        <f aca="false">IF(G44="","",IF(ABS(G44)&lt;=$B$4,"Yes","No"))</f>
        <v/>
      </c>
      <c r="I44" s="15"/>
      <c r="J44" s="10" t="s">
        <v>86</v>
      </c>
      <c r="K44" s="10" t="s">
        <v>82</v>
      </c>
      <c r="M44" s="10" t="s">
        <v>83</v>
      </c>
    </row>
    <row r="45" customFormat="false" ht="15" hidden="false" customHeight="false" outlineLevel="0" collapsed="false">
      <c r="A45" s="10" t="s">
        <v>84</v>
      </c>
      <c r="B45" s="10" t="s">
        <v>85</v>
      </c>
      <c r="C45" s="10" t="s">
        <v>30</v>
      </c>
      <c r="D45" s="11" t="n">
        <v>0</v>
      </c>
      <c r="E45" s="12" t="n">
        <f aca="false">IF(D45="","",D45/$B$3)</f>
        <v>0</v>
      </c>
      <c r="F45" s="13"/>
      <c r="G45" s="14" t="str">
        <f aca="false">IF(OR(F45="",E45=""),"",IF(F45=0,IF(E45=0,0,1),(E45-F45)/ABS(F45)))</f>
        <v/>
      </c>
      <c r="H45" s="10" t="str">
        <f aca="false">IF(G45="","",IF(ABS(G45)&lt;=$B$4,"Yes","No"))</f>
        <v/>
      </c>
      <c r="I45" s="15"/>
      <c r="J45" s="10" t="s">
        <v>86</v>
      </c>
      <c r="K45" s="10" t="s">
        <v>82</v>
      </c>
      <c r="M45" s="10" t="s">
        <v>83</v>
      </c>
    </row>
    <row r="46" customFormat="false" ht="15" hidden="false" customHeight="false" outlineLevel="0" collapsed="false">
      <c r="A46" s="10" t="s">
        <v>87</v>
      </c>
      <c r="B46" s="10" t="s">
        <v>88</v>
      </c>
      <c r="C46" s="10" t="s">
        <v>26</v>
      </c>
      <c r="D46" s="11" t="n">
        <v>270867000</v>
      </c>
      <c r="E46" s="12" t="n">
        <f aca="false">IF(D46="","",D46/$B$3)</f>
        <v>270867</v>
      </c>
      <c r="F46" s="13"/>
      <c r="G46" s="14" t="str">
        <f aca="false">IF(OR(F46="",E46=""),"",IF(F46=0,IF(E46=0,0,1),(E46-F46)/ABS(F46)))</f>
        <v/>
      </c>
      <c r="H46" s="10" t="str">
        <f aca="false">IF(G46="","",IF(ABS(G46)&lt;=$B$4,"Yes","No"))</f>
        <v/>
      </c>
      <c r="I46" s="15"/>
      <c r="J46" s="10" t="s">
        <v>65</v>
      </c>
      <c r="K46" s="10" t="s">
        <v>89</v>
      </c>
      <c r="L46" s="16" t="s">
        <v>29</v>
      </c>
      <c r="M46" s="10"/>
    </row>
    <row r="47" customFormat="false" ht="15" hidden="false" customHeight="false" outlineLevel="0" collapsed="false">
      <c r="A47" s="10" t="s">
        <v>87</v>
      </c>
      <c r="B47" s="10" t="s">
        <v>88</v>
      </c>
      <c r="C47" s="10" t="s">
        <v>30</v>
      </c>
      <c r="D47" s="11" t="n">
        <v>109201000</v>
      </c>
      <c r="E47" s="12" t="n">
        <f aca="false">IF(D47="","",D47/$B$3)</f>
        <v>109201</v>
      </c>
      <c r="F47" s="13"/>
      <c r="G47" s="14" t="str">
        <f aca="false">IF(OR(F47="",E47=""),"",IF(F47=0,IF(E47=0,0,1),(E47-F47)/ABS(F47)))</f>
        <v/>
      </c>
      <c r="H47" s="10" t="str">
        <f aca="false">IF(G47="","",IF(ABS(G47)&lt;=$B$4,"Yes","No"))</f>
        <v/>
      </c>
      <c r="I47" s="15"/>
      <c r="J47" s="10" t="s">
        <v>65</v>
      </c>
      <c r="K47" s="10" t="s">
        <v>89</v>
      </c>
      <c r="L47" s="16" t="s">
        <v>29</v>
      </c>
      <c r="M47" s="10"/>
    </row>
    <row r="48" customFormat="false" ht="15" hidden="false" customHeight="false" outlineLevel="0" collapsed="false">
      <c r="A48" s="10" t="s">
        <v>90</v>
      </c>
      <c r="B48" s="10" t="s">
        <v>91</v>
      </c>
      <c r="C48" s="10" t="s">
        <v>26</v>
      </c>
      <c r="D48" s="11" t="n">
        <v>9175903000</v>
      </c>
      <c r="E48" s="12" t="n">
        <f aca="false">IF(D48="","",D48/$B$3)</f>
        <v>9175903</v>
      </c>
      <c r="F48" s="13"/>
      <c r="G48" s="14" t="str">
        <f aca="false">IF(OR(F48="",E48=""),"",IF(F48=0,IF(E48=0,0,1),(E48-F48)/ABS(F48)))</f>
        <v/>
      </c>
      <c r="H48" s="10" t="str">
        <f aca="false">IF(G48="","",IF(ABS(G48)&lt;=$B$4,"Yes","No"))</f>
        <v/>
      </c>
      <c r="I48" s="15"/>
      <c r="J48" s="10" t="s">
        <v>65</v>
      </c>
      <c r="K48" s="10" t="s">
        <v>92</v>
      </c>
      <c r="L48" s="16" t="s">
        <v>29</v>
      </c>
      <c r="M48" s="10"/>
    </row>
    <row r="49" customFormat="false" ht="15" hidden="false" customHeight="false" outlineLevel="0" collapsed="false">
      <c r="A49" s="10" t="s">
        <v>90</v>
      </c>
      <c r="B49" s="10" t="s">
        <v>91</v>
      </c>
      <c r="C49" s="10" t="s">
        <v>30</v>
      </c>
      <c r="D49" s="11" t="n">
        <v>10163988000</v>
      </c>
      <c r="E49" s="12" t="n">
        <f aca="false">IF(D49="","",D49/$B$3)</f>
        <v>10163988</v>
      </c>
      <c r="F49" s="13"/>
      <c r="G49" s="14" t="str">
        <f aca="false">IF(OR(F49="",E49=""),"",IF(F49=0,IF(E49=0,0,1),(E49-F49)/ABS(F49)))</f>
        <v/>
      </c>
      <c r="H49" s="10" t="str">
        <f aca="false">IF(G49="","",IF(ABS(G49)&lt;=$B$4,"Yes","No"))</f>
        <v/>
      </c>
      <c r="I49" s="15"/>
      <c r="J49" s="10" t="s">
        <v>65</v>
      </c>
      <c r="K49" s="10" t="s">
        <v>92</v>
      </c>
      <c r="L49" s="16" t="s">
        <v>29</v>
      </c>
      <c r="M49" s="10"/>
    </row>
    <row r="50" customFormat="false" ht="15" hidden="false" customHeight="false" outlineLevel="0" collapsed="false">
      <c r="A50" s="10" t="s">
        <v>93</v>
      </c>
      <c r="B50" s="10" t="s">
        <v>94</v>
      </c>
      <c r="C50" s="10" t="s">
        <v>26</v>
      </c>
      <c r="D50" s="11" t="n">
        <v>216401000</v>
      </c>
      <c r="E50" s="12" t="n">
        <f aca="false">IF(D50="","",D50/$B$3)</f>
        <v>216401</v>
      </c>
      <c r="F50" s="13"/>
      <c r="G50" s="14" t="str">
        <f aca="false">IF(OR(F50="",E50=""),"",IF(F50=0,IF(E50=0,0,1),(E50-F50)/ABS(F50)))</f>
        <v/>
      </c>
      <c r="H50" s="10" t="str">
        <f aca="false">IF(G50="","",IF(ABS(G50)&lt;=$B$4,"Yes","No"))</f>
        <v/>
      </c>
      <c r="I50" s="15"/>
      <c r="J50" s="10" t="s">
        <v>61</v>
      </c>
      <c r="K50" s="10" t="s">
        <v>95</v>
      </c>
      <c r="L50" s="16" t="s">
        <v>96</v>
      </c>
      <c r="M50" s="10" t="s">
        <v>97</v>
      </c>
    </row>
    <row r="51" customFormat="false" ht="15" hidden="false" customHeight="false" outlineLevel="0" collapsed="false">
      <c r="A51" s="10" t="s">
        <v>93</v>
      </c>
      <c r="B51" s="10" t="s">
        <v>94</v>
      </c>
      <c r="C51" s="10" t="s">
        <v>30</v>
      </c>
      <c r="D51" s="11" t="n">
        <v>185120000</v>
      </c>
      <c r="E51" s="12" t="n">
        <f aca="false">IF(D51="","",D51/$B$3)</f>
        <v>185120</v>
      </c>
      <c r="F51" s="13"/>
      <c r="G51" s="14" t="str">
        <f aca="false">IF(OR(F51="",E51=""),"",IF(F51=0,IF(E51=0,0,1),(E51-F51)/ABS(F51)))</f>
        <v/>
      </c>
      <c r="H51" s="10" t="str">
        <f aca="false">IF(G51="","",IF(ABS(G51)&lt;=$B$4,"Yes","No"))</f>
        <v/>
      </c>
      <c r="I51" s="15"/>
      <c r="J51" s="10" t="s">
        <v>61</v>
      </c>
      <c r="K51" s="10" t="s">
        <v>95</v>
      </c>
      <c r="L51" s="16" t="s">
        <v>29</v>
      </c>
      <c r="M51" s="10" t="s">
        <v>97</v>
      </c>
    </row>
    <row r="52" customFormat="false" ht="15" hidden="false" customHeight="false" outlineLevel="0" collapsed="false">
      <c r="A52" s="10" t="s">
        <v>98</v>
      </c>
      <c r="B52" s="10" t="s">
        <v>99</v>
      </c>
      <c r="C52" s="10" t="s">
        <v>26</v>
      </c>
      <c r="D52" s="11" t="n">
        <v>2620066000</v>
      </c>
      <c r="E52" s="12" t="n">
        <f aca="false">IF(D52="","",D52/$B$3)</f>
        <v>2620066</v>
      </c>
      <c r="F52" s="13"/>
      <c r="G52" s="14" t="str">
        <f aca="false">IF(OR(F52="",E52=""),"",IF(F52=0,IF(E52=0,0,1),(E52-F52)/ABS(F52)))</f>
        <v/>
      </c>
      <c r="H52" s="10" t="str">
        <f aca="false">IF(G52="","",IF(ABS(G52)&lt;=$B$4,"Yes","No"))</f>
        <v/>
      </c>
      <c r="I52" s="15"/>
      <c r="J52" s="10" t="s">
        <v>100</v>
      </c>
      <c r="K52" s="10" t="s">
        <v>101</v>
      </c>
      <c r="L52" s="16" t="s">
        <v>96</v>
      </c>
      <c r="M52" s="10"/>
    </row>
    <row r="53" customFormat="false" ht="15" hidden="false" customHeight="false" outlineLevel="0" collapsed="false">
      <c r="A53" s="10" t="s">
        <v>98</v>
      </c>
      <c r="B53" s="10" t="s">
        <v>99</v>
      </c>
      <c r="C53" s="10" t="s">
        <v>30</v>
      </c>
      <c r="D53" s="11" t="n">
        <v>2601142000</v>
      </c>
      <c r="E53" s="12" t="n">
        <f aca="false">IF(D53="","",D53/$B$3)</f>
        <v>2601142</v>
      </c>
      <c r="F53" s="13"/>
      <c r="G53" s="14" t="str">
        <f aca="false">IF(OR(F53="",E53=""),"",IF(F53=0,IF(E53=0,0,1),(E53-F53)/ABS(F53)))</f>
        <v/>
      </c>
      <c r="H53" s="10" t="str">
        <f aca="false">IF(G53="","",IF(ABS(G53)&lt;=$B$4,"Yes","No"))</f>
        <v/>
      </c>
      <c r="I53" s="15"/>
      <c r="J53" s="10" t="s">
        <v>100</v>
      </c>
      <c r="K53" s="10" t="s">
        <v>101</v>
      </c>
      <c r="L53" s="16" t="s">
        <v>29</v>
      </c>
      <c r="M53" s="10"/>
    </row>
    <row r="54" customFormat="false" ht="15" hidden="false" customHeight="false" outlineLevel="0" collapsed="false">
      <c r="A54" s="10" t="s">
        <v>102</v>
      </c>
      <c r="B54" s="10" t="s">
        <v>103</v>
      </c>
      <c r="C54" s="10" t="s">
        <v>26</v>
      </c>
      <c r="D54" s="11" t="n">
        <v>270867000</v>
      </c>
      <c r="E54" s="12" t="n">
        <f aca="false">IF(D54="","",D54/$B$3)</f>
        <v>270867</v>
      </c>
      <c r="F54" s="13"/>
      <c r="G54" s="14" t="str">
        <f aca="false">IF(OR(F54="",E54=""),"",IF(F54=0,IF(E54=0,0,1),(E54-F54)/ABS(F54)))</f>
        <v/>
      </c>
      <c r="H54" s="10" t="str">
        <f aca="false">IF(G54="","",IF(ABS(G54)&lt;=$B$4,"Yes","No"))</f>
        <v/>
      </c>
      <c r="I54" s="15"/>
      <c r="J54" s="10" t="s">
        <v>104</v>
      </c>
      <c r="K54" s="10" t="s">
        <v>105</v>
      </c>
      <c r="L54" s="16" t="s">
        <v>96</v>
      </c>
      <c r="M54" s="10"/>
    </row>
    <row r="55" customFormat="false" ht="15" hidden="false" customHeight="false" outlineLevel="0" collapsed="false">
      <c r="A55" s="10" t="s">
        <v>102</v>
      </c>
      <c r="B55" s="10" t="s">
        <v>103</v>
      </c>
      <c r="C55" s="10" t="s">
        <v>30</v>
      </c>
      <c r="D55" s="11" t="n">
        <v>109201000</v>
      </c>
      <c r="E55" s="12" t="n">
        <f aca="false">IF(D55="","",D55/$B$3)</f>
        <v>109201</v>
      </c>
      <c r="F55" s="13"/>
      <c r="G55" s="14" t="str">
        <f aca="false">IF(OR(F55="",E55=""),"",IF(F55=0,IF(E55=0,0,1),(E55-F55)/ABS(F55)))</f>
        <v/>
      </c>
      <c r="H55" s="10" t="str">
        <f aca="false">IF(G55="","",IF(ABS(G55)&lt;=$B$4,"Yes","No"))</f>
        <v/>
      </c>
      <c r="I55" s="15"/>
      <c r="J55" s="10" t="s">
        <v>104</v>
      </c>
      <c r="K55" s="10" t="s">
        <v>105</v>
      </c>
      <c r="L55" s="16" t="s">
        <v>29</v>
      </c>
      <c r="M55" s="10"/>
    </row>
  </sheetData>
  <mergeCells count="2">
    <mergeCell ref="B5:L5"/>
    <mergeCell ref="B6:L6"/>
  </mergeCells>
  <dataValidations count="1">
    <dataValidation allowBlank="true" error="Type a number, as printed in the 10-K" errorStyle="stop" errorTitle="Number expected" operator="between" showDropDown="false" showErrorMessage="false" showInputMessage="false" sqref="F12:F55" type="decimal">
      <formula1>0</formula1>
      <formula2>0</formula2>
    </dataValidation>
  </dataValidations>
  <hyperlinks>
    <hyperlink ref="L12" r:id="rId2" display="10-K filed 2026-02-11"/>
    <hyperlink ref="L13" r:id="rId3" display="10-K filed 2026-02-11"/>
    <hyperlink ref="L14" r:id="rId4" display="10-K filed 2026-02-11"/>
    <hyperlink ref="L15" r:id="rId5" display="10-K filed 2026-02-11"/>
    <hyperlink ref="L16" r:id="rId6" display="10-K filed 2026-02-11"/>
    <hyperlink ref="L17" r:id="rId7" display="10-K filed 2026-02-11"/>
    <hyperlink ref="L18" r:id="rId8" display="10-K filed 2026-02-11"/>
    <hyperlink ref="L19" r:id="rId9" display="10-K filed 2026-02-11"/>
    <hyperlink ref="L20" r:id="rId10" display="10-K filed 2026-02-11"/>
    <hyperlink ref="L21" r:id="rId11" display="10-K filed 2026-02-11"/>
    <hyperlink ref="L22" r:id="rId12" display="10-K filed 2026-02-11"/>
    <hyperlink ref="L23" r:id="rId13" display="10-K filed 2026-02-11"/>
    <hyperlink ref="L24" r:id="rId14" display="10-K filed 2026-02-11"/>
    <hyperlink ref="L25" r:id="rId15" display="10-K filed 2026-02-11"/>
    <hyperlink ref="L26" r:id="rId16" display="10-K filed 2026-02-11"/>
    <hyperlink ref="L27" r:id="rId17" display="10-K filed 2026-02-11"/>
    <hyperlink ref="L28" r:id="rId18" display="10-K filed 2026-02-11"/>
    <hyperlink ref="L29" r:id="rId19" display="10-K filed 2026-02-11"/>
    <hyperlink ref="L30" r:id="rId20" display="10-K filed 2026-02-11"/>
    <hyperlink ref="L31" r:id="rId21" display="10-K filed 2026-02-11"/>
    <hyperlink ref="L32" r:id="rId22" display="10-K filed 2026-02-11"/>
    <hyperlink ref="L33" r:id="rId23" display="10-K filed 2026-02-11"/>
    <hyperlink ref="L34" r:id="rId24" display="10-K filed 2026-02-11"/>
    <hyperlink ref="L35" r:id="rId25" display="10-K filed 2026-02-11"/>
    <hyperlink ref="L36" r:id="rId26" display="10-K filed 2026-02-11"/>
    <hyperlink ref="L37" r:id="rId27" display="10-K filed 2026-02-11"/>
    <hyperlink ref="L38" r:id="rId28" display="10-K filed 2026-02-11"/>
    <hyperlink ref="L39" r:id="rId29" display="10-K filed 2026-02-11"/>
    <hyperlink ref="L40" r:id="rId30" display="10-K filed 2026-02-11"/>
    <hyperlink ref="L41" r:id="rId31" display="10-K filed 2026-02-11"/>
    <hyperlink ref="L46" r:id="rId32" display="10-K filed 2026-02-11"/>
    <hyperlink ref="L47" r:id="rId33" display="10-K filed 2026-02-11"/>
    <hyperlink ref="L48" r:id="rId34" display="10-K filed 2026-02-11"/>
    <hyperlink ref="L49" r:id="rId35" display="10-K filed 2026-02-11"/>
    <hyperlink ref="L50" r:id="rId36" display="10-K filed 2025-02-13"/>
    <hyperlink ref="L51" r:id="rId37" display="10-K filed 2026-02-11"/>
    <hyperlink ref="L52" r:id="rId38" display="10-K filed 2025-02-13"/>
    <hyperlink ref="L53" r:id="rId39" display="10-K filed 2026-02-11"/>
    <hyperlink ref="L54" r:id="rId40" display="10-K filed 2025-02-13"/>
    <hyperlink ref="L55" r:id="rId41" display="10-K filed 2026-02-11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4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7" min="2" style="0" width="13"/>
  </cols>
  <sheetData>
    <row r="1" customFormat="false" ht="17.35" hidden="false" customHeight="false" outlineLevel="0" collapsed="false">
      <c r="A1" s="1" t="s">
        <v>106</v>
      </c>
    </row>
    <row r="2" customFormat="false" ht="15" hidden="false" customHeight="false" outlineLevel="0" collapsed="false">
      <c r="A2" s="10" t="s">
        <v>107</v>
      </c>
    </row>
    <row r="3" customFormat="false" ht="15" hidden="false" customHeight="false" outlineLevel="0" collapsed="false">
      <c r="A3" s="2" t="s">
        <v>108</v>
      </c>
      <c r="B3" s="15" t="n">
        <v>0</v>
      </c>
    </row>
    <row r="5" customFormat="false" ht="23.85" hidden="false" customHeight="false" outlineLevel="0" collapsed="false">
      <c r="A5" s="17" t="s">
        <v>109</v>
      </c>
      <c r="B5" s="17" t="s">
        <v>110</v>
      </c>
      <c r="C5" s="17" t="s">
        <v>111</v>
      </c>
      <c r="D5" s="17" t="s">
        <v>112</v>
      </c>
      <c r="E5" s="17" t="s">
        <v>113</v>
      </c>
      <c r="F5" s="17" t="s">
        <v>114</v>
      </c>
      <c r="G5" s="17" t="s">
        <v>115</v>
      </c>
    </row>
    <row r="6" customFormat="false" ht="15" hidden="false" customHeight="false" outlineLevel="0" collapsed="false">
      <c r="A6" s="10" t="s">
        <v>116</v>
      </c>
      <c r="B6" s="18" t="str">
        <f aca="false">IF(OR('Hand check'!$F$14="",'Hand check'!$F$16=""),"",'Hand check'!$F$14+'Hand check'!$F$16)</f>
        <v/>
      </c>
      <c r="C6" s="11" t="n">
        <f aca="false">2806879000/'Hand check'!$B$3</f>
        <v>2806879</v>
      </c>
      <c r="D6" s="14" t="str">
        <f aca="false">IF(OR(B6="",C6=""),"",IF(B6=0,"",(C6-B6)/ABS(B6)))</f>
        <v/>
      </c>
      <c r="E6" s="18" t="str">
        <f aca="false">IF(OR('Hand check'!$F$15="",'Hand check'!$F$17=""),"",'Hand check'!$F$15+'Hand check'!$F$17)</f>
        <v/>
      </c>
      <c r="F6" s="11" t="n">
        <f aca="false">2751867000/'Hand check'!$B$3</f>
        <v>2751867</v>
      </c>
      <c r="G6" s="14" t="str">
        <f aca="false">IF(OR(E6="",F6=""),"",IF(E6=0,"",(F6-E6)/ABS(E6)))</f>
        <v/>
      </c>
    </row>
    <row r="7" customFormat="false" ht="15" hidden="false" customHeight="false" outlineLevel="0" collapsed="false">
      <c r="A7" s="10" t="s">
        <v>117</v>
      </c>
      <c r="B7" s="18" t="str">
        <f aca="false">IF(OR(B6="",'Hand check'!$F$30=""),"",B6+'Hand check'!$F$30)</f>
        <v/>
      </c>
      <c r="C7" s="11" t="n">
        <f aca="false">3496009000/'Hand check'!$B$3</f>
        <v>3496009</v>
      </c>
      <c r="D7" s="14" t="str">
        <f aca="false">IF(OR(B7="",C7=""),"",IF(B7=0,"",(C7-B7)/ABS(B7)))</f>
        <v/>
      </c>
      <c r="E7" s="18" t="str">
        <f aca="false">IF(OR(E6="",'Hand check'!$F$31=""),"",E6+'Hand check'!$F$31)</f>
        <v/>
      </c>
      <c r="F7" s="11" t="n">
        <f aca="false">3454047000/'Hand check'!$B$3</f>
        <v>3454047</v>
      </c>
      <c r="G7" s="14" t="str">
        <f aca="false">IF(OR(E7="",F7=""),"",IF(E7=0,"",(F7-E7)/ABS(E7)))</f>
        <v/>
      </c>
    </row>
    <row r="8" customFormat="false" ht="15" hidden="false" customHeight="false" outlineLevel="0" collapsed="false">
      <c r="A8" s="10" t="s">
        <v>118</v>
      </c>
      <c r="B8" s="18" t="str">
        <f aca="false">IF(OR('Hand check'!$F$42="",'Hand check'!$F$44="",'Hand check'!$F$46="",'Hand check'!$F$48="",'Hand check'!$F$50=""),"",'Hand check'!$F$42+'Hand check'!$F$44+'Hand check'!$F$46+'Hand check'!$F$48+$B$3*'Hand check'!$F$50)</f>
        <v/>
      </c>
      <c r="C8" s="11" t="n">
        <f aca="false">9446770000/'Hand check'!$B$3</f>
        <v>9446770</v>
      </c>
      <c r="D8" s="14" t="str">
        <f aca="false">IF(OR(B8="",C8=""),"",IF(B8=0,"",(C8-B8)/ABS(B8)))</f>
        <v/>
      </c>
      <c r="E8" s="18" t="str">
        <f aca="false">IF(OR('Hand check'!$F$43="",'Hand check'!$F$45="",'Hand check'!$F$47="",'Hand check'!$F$49="",'Hand check'!$F$51=""),"",'Hand check'!$F$43+'Hand check'!$F$45+'Hand check'!$F$47+'Hand check'!$F$49+$B$3*'Hand check'!$F$51)</f>
        <v/>
      </c>
      <c r="F8" s="11" t="n">
        <f aca="false">10273189000/'Hand check'!$B$3</f>
        <v>10273189</v>
      </c>
      <c r="G8" s="14" t="str">
        <f aca="false">IF(OR(E8="",F8=""),"",IF(E8=0,"",(F8-E8)/ABS(E8)))</f>
        <v/>
      </c>
    </row>
    <row r="9" customFormat="false" ht="15" hidden="false" customHeight="false" outlineLevel="0" collapsed="false">
      <c r="A9" s="10" t="s">
        <v>119</v>
      </c>
      <c r="B9" s="18" t="str">
        <f aca="false">IF(OR(B8="",'Hand check'!$F$32=""),"",B8-'Hand check'!$F$32)</f>
        <v/>
      </c>
      <c r="C9" s="11" t="n">
        <f aca="false">8651837000/'Hand check'!$B$3</f>
        <v>8651837</v>
      </c>
      <c r="D9" s="14" t="str">
        <f aca="false">IF(OR(B9="",C9=""),"",IF(B9=0,"",(C9-B9)/ABS(B9)))</f>
        <v/>
      </c>
      <c r="E9" s="18" t="str">
        <f aca="false">IF(OR(E8="",'Hand check'!$F$33=""),"",E8-'Hand check'!$F$33)</f>
        <v/>
      </c>
      <c r="F9" s="11" t="n">
        <f aca="false">9596751000/'Hand check'!$B$3</f>
        <v>9596751</v>
      </c>
      <c r="G9" s="14" t="str">
        <f aca="false">IF(OR(E9="",F9=""),"",IF(E9=0,"",(F9-E9)/ABS(E9)))</f>
        <v/>
      </c>
    </row>
    <row r="11" customFormat="false" ht="15" hidden="false" customHeight="false" outlineLevel="0" collapsed="false">
      <c r="A11" s="2" t="s">
        <v>120</v>
      </c>
      <c r="B11" s="19" t="str">
        <f aca="false">IF(OR(B8="",B6=""),"",IF(B6&lt;=0,"n.m.",B8/B6))</f>
        <v/>
      </c>
      <c r="C11" s="20" t="n">
        <v>3.36557792480545</v>
      </c>
      <c r="D11" s="14" t="str">
        <f aca="false">IF(OR(B11="",C11=""),"",IF(B11=0,"",(C11-B11)/ABS(B11)))</f>
        <v/>
      </c>
      <c r="E11" s="19" t="str">
        <f aca="false">IF(OR(E8="",E6=""),"",IF(E6&lt;=0,"n.m.",E8/E6))</f>
        <v/>
      </c>
      <c r="F11" s="20" t="n">
        <v>3.73317060744578</v>
      </c>
      <c r="G11" s="14" t="str">
        <f aca="false">IF(OR(E11="",F11=""),"",IF(E11=0,"",(F11-E11)/ABS(E11)))</f>
        <v/>
      </c>
    </row>
    <row r="12" customFormat="false" ht="15" hidden="false" customHeight="false" outlineLevel="0" collapsed="false">
      <c r="A12" s="2" t="s">
        <v>121</v>
      </c>
      <c r="B12" s="19" t="str">
        <f aca="false">IF(OR(B9="",B6=""),"",IF(B6&lt;=0,"n.m.",B9/B6))</f>
        <v/>
      </c>
      <c r="C12" s="20" t="n">
        <v>3.08236906542819</v>
      </c>
      <c r="D12" s="14" t="str">
        <f aca="false">IF(OR(B12="",C12=""),"",IF(B12=0,"",(C12-B12)/ABS(B12)))</f>
        <v/>
      </c>
      <c r="E12" s="19" t="str">
        <f aca="false">IF(OR(E9="",E6=""),"",IF(E6&lt;=0,"n.m.",E9/E6))</f>
        <v/>
      </c>
      <c r="F12" s="20" t="n">
        <v>3.48736003593197</v>
      </c>
      <c r="G12" s="14" t="str">
        <f aca="false">IF(OR(E12="",F12=""),"",IF(E12=0,"",(F12-E12)/ABS(E12)))</f>
        <v/>
      </c>
    </row>
    <row r="13" customFormat="false" ht="15" hidden="false" customHeight="false" outlineLevel="0" collapsed="false">
      <c r="A13" s="2" t="s">
        <v>122</v>
      </c>
      <c r="B13" s="19" t="str">
        <f aca="false">IF(OR(B8="",B7="",'Hand check'!$F$52=""),"",IF(B7&lt;=0,"n.m.",(B8+'Hand check'!$F$52)/B7))</f>
        <v/>
      </c>
      <c r="C13" s="20" t="n">
        <v>3.45160324244017</v>
      </c>
      <c r="D13" s="14" t="str">
        <f aca="false">IF(OR(B13="",C13=""),"",IF(B13=0,"",(C13-B13)/ABS(B13)))</f>
        <v/>
      </c>
      <c r="E13" s="19" t="str">
        <f aca="false">IF(OR(E8="",E7="",'Hand check'!$F$53=""),"",IF(E7&lt;=0,"n.m.",(E8+'Hand check'!$F$53)/E7))</f>
        <v/>
      </c>
      <c r="F13" s="20" t="n">
        <v>3.72731783904504</v>
      </c>
      <c r="G13" s="14" t="str">
        <f aca="false">IF(OR(E13="",F13=""),"",IF(E13=0,"",(F13-E13)/ABS(E13)))</f>
        <v/>
      </c>
    </row>
    <row r="14" customFormat="false" ht="15" hidden="false" customHeight="false" outlineLevel="0" collapsed="false">
      <c r="A14" s="2" t="s">
        <v>123</v>
      </c>
      <c r="B14" s="19" t="str">
        <f aca="false">IF(OR(B6="",'Hand check'!$F$18=""),"",IF('Hand check'!$F$18&lt;=0,"n.m.",B6/'Hand check'!$F$18))</f>
        <v/>
      </c>
      <c r="C14" s="20" t="n">
        <v>6.44958559568753</v>
      </c>
      <c r="D14" s="14" t="str">
        <f aca="false">IF(OR(B14="",C14=""),"",IF(B14=0,"",(C14-B14)/ABS(B14)))</f>
        <v/>
      </c>
      <c r="E14" s="19" t="str">
        <f aca="false">IF(OR(E6="",'Hand check'!$F$19=""),"",IF('Hand check'!$F$19&lt;=0,"n.m.",E6/'Hand check'!$F$19))</f>
        <v/>
      </c>
      <c r="F14" s="20" t="n">
        <v>5.0967673228084</v>
      </c>
      <c r="G14" s="14" t="str">
        <f aca="false">IF(OR(E14="",F14=""),"",IF(E14=0,"",(F14-E14)/ABS(E14)))</f>
        <v/>
      </c>
    </row>
    <row r="15" customFormat="false" ht="15" hidden="false" customHeight="false" outlineLevel="0" collapsed="false">
      <c r="A15" s="2" t="s">
        <v>124</v>
      </c>
      <c r="B15" s="19" t="str">
        <f aca="false">IF(OR(B6="",'Hand check'!$F$26="",'Hand check'!$F$28="",'Hand check'!$F$18="",'Hand check'!$F$54=""),"",IF('Hand check'!$F$18+'Hand check'!$F$54&lt;=0,"n.m.",(B6-'Hand check'!$F$26-'Hand check'!$F$28)/('Hand check'!$F$18+'Hand check'!$F$54)))</f>
        <v/>
      </c>
      <c r="C15" s="20" t="n">
        <v>2.63925106575835</v>
      </c>
      <c r="D15" s="14" t="str">
        <f aca="false">IF(OR(B15="",C15=""),"",IF(B15=0,"",(C15-B15)/ABS(B15)))</f>
        <v/>
      </c>
      <c r="E15" s="19" t="str">
        <f aca="false">IF(OR(E6="",'Hand check'!$F$27="",'Hand check'!$F$29="",'Hand check'!$F$19="",'Hand check'!$F$55=""),"",IF('Hand check'!$F$19+'Hand check'!$F$55&lt;=0,"n.m.",(E6-'Hand check'!$F$27-'Hand check'!$F$29)/('Hand check'!$F$19+'Hand check'!$F$55)))</f>
        <v/>
      </c>
      <c r="F15" s="20" t="n">
        <v>3.08001540535336</v>
      </c>
      <c r="G15" s="14" t="str">
        <f aca="false">IF(OR(E15="",F15=""),"",IF(E15=0,"",(F15-E15)/ABS(E15)))</f>
        <v/>
      </c>
    </row>
    <row r="16" customFormat="false" ht="15" hidden="false" customHeight="false" outlineLevel="0" collapsed="false">
      <c r="A16" s="2" t="s">
        <v>125</v>
      </c>
      <c r="B16" s="19" t="str">
        <f aca="false">IF(OR('Hand check'!$F$34="",'Hand check'!$F$36=""),"",IF('Hand check'!$F$36&lt;=0,"n.m.",'Hand check'!$F$34/'Hand check'!$F$36))</f>
        <v/>
      </c>
      <c r="C16" s="20" t="n">
        <v>1.25985720099145</v>
      </c>
      <c r="D16" s="14" t="str">
        <f aca="false">IF(OR(B16="",C16=""),"",IF(B16=0,"",(C16-B16)/ABS(B16)))</f>
        <v/>
      </c>
      <c r="E16" s="19" t="str">
        <f aca="false">IF(OR('Hand check'!$F$35="",'Hand check'!$F$37=""),"",IF('Hand check'!$F$37&lt;=0,"n.m.",'Hand check'!$F$35/'Hand check'!$F$37))</f>
        <v/>
      </c>
      <c r="F16" s="20" t="n">
        <v>1.29168547322826</v>
      </c>
      <c r="G16" s="14" t="str">
        <f aca="false">IF(OR(E16="",F16=""),"",IF(E16=0,"",(F16-E16)/ABS(E16)))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2026-10-21T18:28:25Z</dcterms:created>
  <dc:creator>openpyxl</dc:creator>
  <dc:description/>
  <dc:language>en-US</dc:language>
  <cp:lastModifiedBy/>
  <dcterms:modified xsi:type="dcterms:W3CDTF">2026-10-21T18:28:25Z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