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come statement" sheetId="2" state="visible" r:id="rId4"/>
    <sheet name="Cash flow" sheetId="3" state="visible" r:id="rId5"/>
    <sheet name="Balance sheet" sheetId="4" state="visible" r:id="rId6"/>
    <sheet name="Notes" sheetId="5" state="visible" r:id="rId7"/>
    <sheet name="Rati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outputs/spreads/DVA.json, FY2024: 12815550000.0 dollars (xbrl)</t>
        </r>
      </text>
    </comment>
    <comment ref="C7" authorId="0">
      <text>
        <r>
          <rPr>
            <sz val="10"/>
            <rFont val="Arial"/>
            <family val="2"/>
          </rPr>
          <t xml:space="preserve">outputs/spreads/DVA.json, FY2024: 2090483000.0 dollars (xbrl)</t>
        </r>
      </text>
    </comment>
    <comment ref="C8" authorId="0">
      <text>
        <r>
          <rPr>
            <sz val="10"/>
            <rFont val="Arial"/>
            <family val="2"/>
          </rPr>
          <t xml:space="preserve">outputs/spreads/DVA.json, FY2024: 435203000.0 dollars (xbrl)</t>
        </r>
      </text>
    </comment>
    <comment ref="C9" authorId="0">
      <text>
        <r>
          <rPr>
            <sz val="10"/>
            <rFont val="Arial"/>
            <family val="2"/>
          </rPr>
          <t xml:space="preserve">outputs/spreads/DVA.json, FY2024: 1530393000.0 dollars (xbrl)</t>
        </r>
      </text>
    </comment>
    <comment ref="C10" authorId="0">
      <text>
        <r>
          <rPr>
            <sz val="10"/>
            <rFont val="Arial"/>
            <family val="2"/>
          </rPr>
          <t xml:space="preserve">outputs/spreads/DVA.json, FY2024: 936342000.0 dollars (xbrl)</t>
        </r>
      </text>
    </comment>
    <comment ref="G6" authorId="0">
      <text>
        <r>
          <rPr>
            <sz val="10"/>
            <rFont val="Arial"/>
            <family val="2"/>
          </rPr>
          <t xml:space="preserve">outputs/spreads/DVA.json, FY2025: 13643069000.0 dollars (xbrl)</t>
        </r>
      </text>
    </comment>
    <comment ref="G7" authorId="0">
      <text>
        <r>
          <rPr>
            <sz val="10"/>
            <rFont val="Arial"/>
            <family val="2"/>
          </rPr>
          <t xml:space="preserve">outputs/spreads/DVA.json, FY2025: 2043615000.0 dollars (xbrl)</t>
        </r>
      </text>
    </comment>
    <comment ref="G8" authorId="0">
      <text>
        <r>
          <rPr>
            <sz val="10"/>
            <rFont val="Arial"/>
            <family val="2"/>
          </rPr>
          <t xml:space="preserve">outputs/spreads/DVA.json, FY2025: 539924000.0 dollars (xbrl)</t>
        </r>
      </text>
    </comment>
    <comment ref="G9" authorId="0">
      <text>
        <r>
          <rPr>
            <sz val="10"/>
            <rFont val="Arial"/>
            <family val="2"/>
          </rPr>
          <t xml:space="preserve">outputs/spreads/DVA.json, FY2025: 1346823000.0 dollars (xbrl)</t>
        </r>
      </text>
    </comment>
    <comment ref="G10" authorId="0">
      <text>
        <r>
          <rPr>
            <sz val="10"/>
            <rFont val="Arial"/>
            <family val="2"/>
          </rPr>
          <t xml:space="preserve">outputs/spreads/DVA.json, FY2025: 746803000.0 dollars (xbrl)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outputs/spreads/DVA.json, FY2024: 2022038000.0 dollars (xbrl)</t>
        </r>
      </text>
    </comment>
    <comment ref="C7" authorId="0">
      <text>
        <r>
          <rPr>
            <sz val="10"/>
            <rFont val="Arial"/>
            <family val="2"/>
          </rPr>
          <t xml:space="preserve">outputs/spreads/DVA.json, FY2024: 716396000.0 dollars (xbrl)</t>
        </r>
      </text>
    </comment>
    <comment ref="C8" authorId="0">
      <text>
        <r>
          <rPr>
            <sz val="10"/>
            <rFont val="Arial"/>
            <family val="2"/>
          </rPr>
          <t xml:space="preserve">outputs/spreads/DVA.json, FY2024: 555443000.0 dollars (xbrl)</t>
        </r>
      </text>
    </comment>
    <comment ref="C9" authorId="0">
      <text>
        <r>
          <rPr>
            <sz val="10"/>
            <rFont val="Arial"/>
            <family val="2"/>
          </rPr>
          <t xml:space="preserve">outputs/spreads/DVA.json, FY2024: 387940000.0 dollars (xbrl)</t>
        </r>
      </text>
    </comment>
    <comment ref="G6" authorId="0">
      <text>
        <r>
          <rPr>
            <sz val="10"/>
            <rFont val="Arial"/>
            <family val="2"/>
          </rPr>
          <t xml:space="preserve">outputs/spreads/DVA.json, FY2025: 1886500000.0 dollars (xbrl)</t>
        </r>
      </text>
    </comment>
    <comment ref="G7" authorId="0">
      <text>
        <r>
          <rPr>
            <sz val="10"/>
            <rFont val="Arial"/>
            <family val="2"/>
          </rPr>
          <t xml:space="preserve">outputs/spreads/DVA.json, FY2025: 708252000.0 dollars (xbrl)</t>
        </r>
      </text>
    </comment>
    <comment ref="G8" authorId="0">
      <text>
        <r>
          <rPr>
            <sz val="10"/>
            <rFont val="Arial"/>
            <family val="2"/>
          </rPr>
          <t xml:space="preserve">outputs/spreads/DVA.json, FY2025: 575864000.0 dollars (xbrl)</t>
        </r>
      </text>
    </comment>
    <comment ref="G9" authorId="0">
      <text>
        <r>
          <rPr>
            <sz val="10"/>
            <rFont val="Arial"/>
            <family val="2"/>
          </rPr>
          <t xml:space="preserve">outputs/spreads/DVA.json, FY2025: 176688000.0 dollars (xbrl)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outputs/spreads/DVA.json, FY2024: 794933000.0 dollars (xbrl)</t>
        </r>
      </text>
    </comment>
    <comment ref="C7" authorId="0">
      <text>
        <r>
          <rPr>
            <sz val="10"/>
            <rFont val="Arial"/>
            <family val="2"/>
          </rPr>
          <t xml:space="preserve">outputs/spreads/DVA.json, FY2024: 3746072000.0 dollars (xbrl)</t>
        </r>
      </text>
    </comment>
    <comment ref="C8" authorId="0">
      <text>
        <r>
          <rPr>
            <sz val="10"/>
            <rFont val="Arial"/>
            <family val="2"/>
          </rPr>
          <t xml:space="preserve">outputs/spreads/DVA.json, FY2024: 17285268000.0 dollars (xbrl)</t>
        </r>
      </text>
    </comment>
    <comment ref="C9" authorId="0">
      <text>
        <r>
          <rPr>
            <sz val="10"/>
            <rFont val="Arial"/>
            <family val="2"/>
          </rPr>
          <t xml:space="preserve">outputs/spreads/DVA.json, FY2024: 0.0 dollars (assumed_zero)</t>
        </r>
      </text>
    </comment>
    <comment ref="C10" authorId="0">
      <text>
        <r>
          <rPr>
            <sz val="10"/>
            <rFont val="Arial"/>
            <family val="2"/>
          </rPr>
          <t xml:space="preserve">outputs/spreads/DVA.json, FY2024: 0.0 dollars (assumed_zero)</t>
        </r>
      </text>
    </comment>
    <comment ref="C11" authorId="0">
      <text>
        <r>
          <rPr>
            <sz val="10"/>
            <rFont val="Arial"/>
            <family val="2"/>
          </rPr>
          <t xml:space="preserve">outputs/spreads/DVA.json, FY2024: 270867000.0 dollars (xbrl)</t>
        </r>
      </text>
    </comment>
    <comment ref="C12" authorId="0">
      <text>
        <r>
          <rPr>
            <sz val="10"/>
            <rFont val="Arial"/>
            <family val="2"/>
          </rPr>
          <t xml:space="preserve">outputs/spreads/DVA.json, FY2024: 2973410000.0 dollars (xbrl)</t>
        </r>
      </text>
    </comment>
    <comment ref="C13" authorId="0">
      <text>
        <r>
          <rPr>
            <sz val="10"/>
            <rFont val="Arial"/>
            <family val="2"/>
          </rPr>
          <t xml:space="preserve">outputs/spreads/DVA.json, FY2024: 9175903000.0 dollars (xbrl)</t>
        </r>
      </text>
    </comment>
    <comment ref="C14" authorId="0">
      <text>
        <r>
          <rPr>
            <sz val="10"/>
            <rFont val="Arial"/>
            <family val="2"/>
          </rPr>
          <t xml:space="preserve">outputs/spreads/DVA.json, FY2024: 121122000.0 dollars (xbrl)</t>
        </r>
      </text>
    </comment>
    <comment ref="G6" authorId="0">
      <text>
        <r>
          <rPr>
            <sz val="10"/>
            <rFont val="Arial"/>
            <family val="2"/>
          </rPr>
          <t xml:space="preserve">outputs/spreads/DVA.json, FY2025: 676438000.0 dollars (xbrl)</t>
        </r>
      </text>
    </comment>
    <comment ref="G7" authorId="0">
      <text>
        <r>
          <rPr>
            <sz val="10"/>
            <rFont val="Arial"/>
            <family val="2"/>
          </rPr>
          <t xml:space="preserve">outputs/spreads/DVA.json, FY2025: 4058003000.0 dollars (xbrl)</t>
        </r>
      </text>
    </comment>
    <comment ref="G8" authorId="0">
      <text>
        <r>
          <rPr>
            <sz val="10"/>
            <rFont val="Arial"/>
            <family val="2"/>
          </rPr>
          <t xml:space="preserve">outputs/spreads/DVA.json, FY2025: 17480103000.0 dollars (xbrl)</t>
        </r>
      </text>
    </comment>
    <comment ref="G9" authorId="0">
      <text>
        <r>
          <rPr>
            <sz val="10"/>
            <rFont val="Arial"/>
            <family val="2"/>
          </rPr>
          <t xml:space="preserve">outputs/spreads/DVA.json, FY2025: 0.0 dollars (assumed_zero)</t>
        </r>
      </text>
    </comment>
    <comment ref="G10" authorId="0">
      <text>
        <r>
          <rPr>
            <sz val="10"/>
            <rFont val="Arial"/>
            <family val="2"/>
          </rPr>
          <t xml:space="preserve">outputs/spreads/DVA.json, FY2025: 0.0 dollars (assumed_zero)</t>
        </r>
      </text>
    </comment>
    <comment ref="G11" authorId="0">
      <text>
        <r>
          <rPr>
            <sz val="10"/>
            <rFont val="Arial"/>
            <family val="2"/>
          </rPr>
          <t xml:space="preserve">outputs/spreads/DVA.json, FY2025: 109201000.0 dollars (xbrl)</t>
        </r>
      </text>
    </comment>
    <comment ref="G12" authorId="0">
      <text>
        <r>
          <rPr>
            <sz val="10"/>
            <rFont val="Arial"/>
            <family val="2"/>
          </rPr>
          <t xml:space="preserve">outputs/spreads/DVA.json, FY2025: 3141634000.0 dollars (xbrl)</t>
        </r>
      </text>
    </comment>
    <comment ref="G13" authorId="0">
      <text>
        <r>
          <rPr>
            <sz val="10"/>
            <rFont val="Arial"/>
            <family val="2"/>
          </rPr>
          <t xml:space="preserve">outputs/spreads/DVA.json, FY2025: 10163988000.0 dollars (xbrl)</t>
        </r>
      </text>
    </comment>
    <comment ref="G14" authorId="0">
      <text>
        <r>
          <rPr>
            <sz val="10"/>
            <rFont val="Arial"/>
            <family val="2"/>
          </rPr>
          <t xml:space="preserve">outputs/spreads/DVA.json, FY2025: -651082000.0 dollars (xbrl)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outputs/spreads/DVA.json, FY2024: 689130000.0 dollars (xbrl)</t>
        </r>
      </text>
    </comment>
    <comment ref="C7" authorId="0">
      <text>
        <r>
          <rPr>
            <sz val="10"/>
            <rFont val="Arial"/>
            <family val="2"/>
          </rPr>
          <t xml:space="preserve">outputs/spreads/DVA.json, FY2024: 2620066000.0 dollars (xbrl)</t>
        </r>
      </text>
    </comment>
    <comment ref="C8" authorId="0">
      <text>
        <r>
          <rPr>
            <sz val="10"/>
            <rFont val="Arial"/>
            <family val="2"/>
          </rPr>
          <t xml:space="preserve">outputs/spreads/DVA.json, FY2024: 216401000.0 dollars (included_in_debt)</t>
        </r>
      </text>
    </comment>
    <comment ref="C9" authorId="0">
      <text>
        <r>
          <rPr>
            <sz val="10"/>
            <rFont val="Arial"/>
            <family val="2"/>
          </rPr>
          <t xml:space="preserve">outputs/spreads/DVA.json, FY2024: 270867000.0 dollars (xbrl)</t>
        </r>
      </text>
    </comment>
    <comment ref="G6" authorId="0">
      <text>
        <r>
          <rPr>
            <sz val="10"/>
            <rFont val="Arial"/>
            <family val="2"/>
          </rPr>
          <t xml:space="preserve">outputs/spreads/DVA.json, FY2025: 702180000.0 dollars (xbrl)</t>
        </r>
      </text>
    </comment>
    <comment ref="G7" authorId="0">
      <text>
        <r>
          <rPr>
            <sz val="10"/>
            <rFont val="Arial"/>
            <family val="2"/>
          </rPr>
          <t xml:space="preserve">outputs/spreads/DVA.json, FY2025: 2601142000.0 dollars (xbrl)</t>
        </r>
      </text>
    </comment>
    <comment ref="G8" authorId="0">
      <text>
        <r>
          <rPr>
            <sz val="10"/>
            <rFont val="Arial"/>
            <family val="2"/>
          </rPr>
          <t xml:space="preserve">outputs/spreads/DVA.json, FY2025: 185120000.0 dollars (included_in_debt)</t>
        </r>
      </text>
    </comment>
    <comment ref="G9" authorId="0">
      <text>
        <r>
          <rPr>
            <sz val="10"/>
            <rFont val="Arial"/>
            <family val="2"/>
          </rPr>
          <t xml:space="preserve">outputs/spreads/DVA.json, FY2025: 109201000.0 dollars (xbrl)</t>
        </r>
      </text>
    </comment>
  </commentList>
</comments>
</file>

<file path=xl/sharedStrings.xml><?xml version="1.0" encoding="utf-8"?>
<sst xmlns="http://schemas.openxmlformats.org/spreadsheetml/2006/main" count="228" uniqueCount="139">
  <si>
    <t xml:space="preserve">DaVita Inc. (DVA): hand check of the tool's spread</t>
  </si>
  <si>
    <t xml:space="preserve">Unit you type in ($ per unit)</t>
  </si>
  <si>
    <t xml:space="preserve">1,000 if the 10-K says 'in thousands'; 1,000,000 if 'in millions'</t>
  </si>
  <si>
    <t xml:space="preserve">Match target</t>
  </si>
  <si>
    <t xml:space="preserve">Years</t>
  </si>
  <si>
    <t xml:space="preserve">FY2024, FY2025</t>
  </si>
  <si>
    <t xml:space="preserve">How to use</t>
  </si>
  <si>
    <t xml:space="preserve">Work through the tabs with the 10-K open at that statement. Type each figure exactly as printed into the yellow cells, and the page or note into 'Page / note'. Leave a cell blank until you've checked it. Differences above the target turn red.</t>
  </si>
  <si>
    <t xml:space="preserve">Example</t>
  </si>
  <si>
    <t xml:space="preserve">Income statement tab, Revenue, FY2025: if the 10-K prints total revenues as 13,643,069, type 13643069 in the yellow cell and something like 'Consolidated Statements of Income, p. 72' under 'Page / note'.</t>
  </si>
  <si>
    <t xml:space="preserve">Tab</t>
  </si>
  <si>
    <t xml:space="preserve">Lines checked</t>
  </si>
  <si>
    <t xml:space="preserve">Within target</t>
  </si>
  <si>
    <t xml:space="preserve">Match rate</t>
  </si>
  <si>
    <t xml:space="preserve">Income statement</t>
  </si>
  <si>
    <t xml:space="preserve">Cash flow</t>
  </si>
  <si>
    <t xml:space="preserve">Balance sheet</t>
  </si>
  <si>
    <t xml:space="preserve">Notes</t>
  </si>
  <si>
    <t xml:space="preserve">All tabs</t>
  </si>
  <si>
    <t xml:space="preserve">Income statement: DaVita Inc.</t>
  </si>
  <si>
    <t xml:space="preserve">Yellow = type the 10-K figure as printed. Blue = the tool's value. Red = outside the target.</t>
  </si>
  <si>
    <t xml:space="preserve">FY2024</t>
  </si>
  <si>
    <t xml:space="preserve">FY2025</t>
  </si>
  <si>
    <t xml:space="preserve">Line</t>
  </si>
  <si>
    <t xml:space="preserve">Where to look</t>
  </si>
  <si>
    <t xml:space="preserve">Tool</t>
  </si>
  <si>
    <t xml:space="preserve">10-K</t>
  </si>
  <si>
    <t xml:space="preserve">Diff</t>
  </si>
  <si>
    <t xml:space="preserve">OK</t>
  </si>
  <si>
    <t xml:space="preserve">Page / note</t>
  </si>
  <si>
    <t xml:space="preserve">XBRL tag / source</t>
  </si>
  <si>
    <t xml:space="preserve">Filing</t>
  </si>
  <si>
    <t xml:space="preserve">Tool note</t>
  </si>
  <si>
    <t xml:space="preserve">concept</t>
  </si>
  <si>
    <t xml:space="preserve">Revenue</t>
  </si>
  <si>
    <t xml:space="preserve">Total revenues</t>
  </si>
  <si>
    <t xml:space="preserve">Revenues</t>
  </si>
  <si>
    <t xml:space="preserve">10-K filed 2026-02-11</t>
  </si>
  <si>
    <t xml:space="preserve">revenue</t>
  </si>
  <si>
    <t xml:space="preserve">Operating income</t>
  </si>
  <si>
    <t xml:space="preserve">OperatingIncomeLoss</t>
  </si>
  <si>
    <t xml:space="preserve">operating_income</t>
  </si>
  <si>
    <t xml:space="preserve">Interest expense</t>
  </si>
  <si>
    <t xml:space="preserve">Interest / debt expense</t>
  </si>
  <si>
    <t xml:space="preserve">InterestExpenseDebt</t>
  </si>
  <si>
    <t xml:space="preserve">interest_expense</t>
  </si>
  <si>
    <t xml:space="preserve">Pre-tax income</t>
  </si>
  <si>
    <t xml:space="preserve">Income before income taxes</t>
  </si>
  <si>
    <t xml:space="preserve">IncomeLossFromContinuingOperationsBeforeIncomeTaxesExtraordinaryItemsNoncontrollingInterest</t>
  </si>
  <si>
    <t xml:space="preserve">pretax_income</t>
  </si>
  <si>
    <t xml:space="preserve">Net income</t>
  </si>
  <si>
    <t xml:space="preserve">Net income attributable to the company</t>
  </si>
  <si>
    <t xml:space="preserve">NetIncomeLoss</t>
  </si>
  <si>
    <t xml:space="preserve">net_income</t>
  </si>
  <si>
    <t xml:space="preserve">Cash flow: DaVita Inc.</t>
  </si>
  <si>
    <t xml:space="preserve">Cash from operations</t>
  </si>
  <si>
    <t xml:space="preserve">Net cash provided by operating activities</t>
  </si>
  <si>
    <t xml:space="preserve">NetCashProvidedByUsedInOperatingActivities</t>
  </si>
  <si>
    <t xml:space="preserve">cfo</t>
  </si>
  <si>
    <t xml:space="preserve">Depreciation and amortization</t>
  </si>
  <si>
    <t xml:space="preserve">Depreciation and amortization (operating section)</t>
  </si>
  <si>
    <t xml:space="preserve">DepreciationDepletionAndAmortization</t>
  </si>
  <si>
    <t xml:space="preserve">da</t>
  </si>
  <si>
    <t xml:space="preserve">Capital expenditures</t>
  </si>
  <si>
    <t xml:space="preserve">Additions of property and equipment (investing section)</t>
  </si>
  <si>
    <t xml:space="preserve">PaymentsToAcquirePropertyPlantAndEquipment</t>
  </si>
  <si>
    <t xml:space="preserve">capex</t>
  </si>
  <si>
    <t xml:space="preserve">Cash taxes paid</t>
  </si>
  <si>
    <t xml:space="preserve">Income taxes paid (supplemental disclosure or tax note)</t>
  </si>
  <si>
    <t xml:space="preserve">IncomeTaxesPaidNet</t>
  </si>
  <si>
    <t xml:space="preserve">cash_taxes</t>
  </si>
  <si>
    <t xml:space="preserve">Balance sheet: DaVita Inc.</t>
  </si>
  <si>
    <t xml:space="preserve">Cash and equivalents</t>
  </si>
  <si>
    <t xml:space="preserve">Cash and cash equivalents</t>
  </si>
  <si>
    <t xml:space="preserve">CashAndCashEquivalentsAtCarryingValue</t>
  </si>
  <si>
    <t xml:space="preserve">cash</t>
  </si>
  <si>
    <t xml:space="preserve">Current assets</t>
  </si>
  <si>
    <t xml:space="preserve">Total current assets</t>
  </si>
  <si>
    <t xml:space="preserve">AssetsCurrent</t>
  </si>
  <si>
    <t xml:space="preserve">current_assets</t>
  </si>
  <si>
    <t xml:space="preserve">Total assets</t>
  </si>
  <si>
    <t xml:space="preserve">Assets</t>
  </si>
  <si>
    <t xml:space="preserve">total_assets</t>
  </si>
  <si>
    <t xml:space="preserve">Short-term borrowings</t>
  </si>
  <si>
    <t xml:space="preserve">Short-term borrowings (type 0 if no such line)</t>
  </si>
  <si>
    <t xml:space="preserve">not tagged (counted as 0)</t>
  </si>
  <si>
    <t xml:space="preserve">Not tagged; counted as 0. Confirm in the 10-K.</t>
  </si>
  <si>
    <t xml:space="preserve">short_term_borrowings</t>
  </si>
  <si>
    <t xml:space="preserve">Commercial paper</t>
  </si>
  <si>
    <t xml:space="preserve">Commercial paper (type 0 if none)</t>
  </si>
  <si>
    <t xml:space="preserve">commercial_paper</t>
  </si>
  <si>
    <t xml:space="preserve">Current portion of long-term debt</t>
  </si>
  <si>
    <t xml:space="preserve">LongTermDebtAndCapitalLeaseObligationsCurrent</t>
  </si>
  <si>
    <t xml:space="preserve">current_ltd</t>
  </si>
  <si>
    <t xml:space="preserve">Current liabilities</t>
  </si>
  <si>
    <t xml:space="preserve">Total current liabilities</t>
  </si>
  <si>
    <t xml:space="preserve">LiabilitiesCurrent</t>
  </si>
  <si>
    <t xml:space="preserve">current_liabilities</t>
  </si>
  <si>
    <t xml:space="preserve">Long-term debt, noncurrent</t>
  </si>
  <si>
    <t xml:space="preserve">Long-term debt, less current portion</t>
  </si>
  <si>
    <t xml:space="preserve">LongTermDebtAndCapitalLeaseObligations</t>
  </si>
  <si>
    <t xml:space="preserve">noncurrent_ltd</t>
  </si>
  <si>
    <t xml:space="preserve">Shareholders' equity</t>
  </si>
  <si>
    <t xml:space="preserve">Total shareholders' equity (company share)</t>
  </si>
  <si>
    <t xml:space="preserve">StockholdersEquity</t>
  </si>
  <si>
    <t xml:space="preserve">equity</t>
  </si>
  <si>
    <t xml:space="preserve">Notes: DaVita Inc.</t>
  </si>
  <si>
    <t xml:space="preserve">Operating lease cost (rent)</t>
  </si>
  <si>
    <t xml:space="preserve">Leases note: operating lease cost</t>
  </si>
  <si>
    <t xml:space="preserve">OperatingLeaseCost</t>
  </si>
  <si>
    <t xml:space="preserve">operating_lease_cost</t>
  </si>
  <si>
    <t xml:space="preserve">Operating lease liabilities</t>
  </si>
  <si>
    <t xml:space="preserve">Leases note: total operating lease liabilities</t>
  </si>
  <si>
    <t xml:space="preserve">OperatingLeaseLiability</t>
  </si>
  <si>
    <t xml:space="preserve">operating_lease_liabilities</t>
  </si>
  <si>
    <t xml:space="preserve">Finance lease liabilities</t>
  </si>
  <si>
    <t xml:space="preserve">Leases note: total finance lease liabilities</t>
  </si>
  <si>
    <t xml:space="preserve">FinanceLeaseLiability</t>
  </si>
  <si>
    <t xml:space="preserve">Already inside long-term debt; the tool does not add it again.</t>
  </si>
  <si>
    <t xml:space="preserve">finance_lease_liabilities</t>
  </si>
  <si>
    <t xml:space="preserve">Scheduled principal, next 12 months</t>
  </si>
  <si>
    <t xml:space="preserve">Debt note: maturities table, first year</t>
  </si>
  <si>
    <t xml:space="preserve">LongTermDebtMaturitiesRepaymentsOfPrincipalInNextTwelveMonths</t>
  </si>
  <si>
    <t xml:space="preserve">scheduled_principal</t>
  </si>
  <si>
    <t xml:space="preserve">Ratios rebuilt in Excel from your 10-K figures, next to the tool's ratios</t>
  </si>
  <si>
    <t xml:space="preserve">A year fills in once all its inputs are typed on the statement tabs. Definitions follow DECISIONS.md. Green = linked from the statement tabs.</t>
  </si>
  <si>
    <t xml:space="preserve">Add finance leases to debt? (1 = yes, 0 = already inside LTD)</t>
  </si>
  <si>
    <t xml:space="preserve">Item</t>
  </si>
  <si>
    <t xml:space="preserve">From 10-K</t>
  </si>
  <si>
    <t xml:space="preserve">EBITDA</t>
  </si>
  <si>
    <t xml:space="preserve">EBITDAR</t>
  </si>
  <si>
    <t xml:space="preserve">Total debt</t>
  </si>
  <si>
    <t xml:space="preserve">Net debt</t>
  </si>
  <si>
    <t xml:space="preserve">Debt / EBITDA</t>
  </si>
  <si>
    <t xml:space="preserve">Net debt / EBITDA</t>
  </si>
  <si>
    <t xml:space="preserve">(Debt + leases) / EBITDAR</t>
  </si>
  <si>
    <t xml:space="preserve">EBITDA / interest</t>
  </si>
  <si>
    <t xml:space="preserve">DSCR</t>
  </si>
  <si>
    <t xml:space="preserve">Current ratio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</si>
</sst>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General"/>
    <numFmt numFmtId="168" formatCode="#,##0;\(#,##0\);\-"/>
    <numFmt numFmtId="169" formatCode="0.00%;\(0.00%\);0.00%"/>
    <numFmt numFmtId="170" formatCode="\✓;;\✗"/>
    <numFmt numFmtId="171" formatCode="0.00\x;\(0.00&quot;x)&quot;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DE3EA"/>
        <bgColor rgb="FFD9D9D9"/>
      </patternFill>
    </fill>
    <fill>
      <patternFill patternType="solid">
        <fgColor rgb="FFEEF1F5"/>
        <bgColor rgb="FFDDE3E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/>
      <bottom style="hair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CBAD"/>
        </patternFill>
      </fill>
    </dxf>
  </dxfs>
  <colors>
    <indexedColors>
      <rgbColor rgb="FF000000"/>
      <rgbColor rgb="FFEEF1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DDE3EA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sec.gov/Archives/edgar/data/927066/000092706626000012/0000927066-26-000012-index.htm" TargetMode="External"/><Relationship Id="rId3" Type="http://schemas.openxmlformats.org/officeDocument/2006/relationships/hyperlink" Target="https://www.sec.gov/Archives/edgar/data/927066/000092706626000012/0000927066-26-000012-index.htm" TargetMode="External"/><Relationship Id="rId4" Type="http://schemas.openxmlformats.org/officeDocument/2006/relationships/hyperlink" Target="https://www.sec.gov/Archives/edgar/data/927066/000092706626000012/0000927066-26-000012-index.htm" TargetMode="External"/><Relationship Id="rId5" Type="http://schemas.openxmlformats.org/officeDocument/2006/relationships/hyperlink" Target="https://www.sec.gov/Archives/edgar/data/927066/000092706626000012/0000927066-26-000012-index.htm" TargetMode="External"/><Relationship Id="rId6" Type="http://schemas.openxmlformats.org/officeDocument/2006/relationships/hyperlink" Target="https://www.sec.gov/Archives/edgar/data/927066/000092706626000012/0000927066-26-000012-index.htm" TargetMode="External"/><Relationship Id="rId7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sec.gov/Archives/edgar/data/927066/000092706626000012/0000927066-26-000012-index.htm" TargetMode="External"/><Relationship Id="rId3" Type="http://schemas.openxmlformats.org/officeDocument/2006/relationships/hyperlink" Target="https://www.sec.gov/Archives/edgar/data/927066/000092706626000012/0000927066-26-000012-index.htm" TargetMode="External"/><Relationship Id="rId4" Type="http://schemas.openxmlformats.org/officeDocument/2006/relationships/hyperlink" Target="https://www.sec.gov/Archives/edgar/data/927066/000092706626000012/0000927066-26-000012-index.htm" TargetMode="External"/><Relationship Id="rId5" Type="http://schemas.openxmlformats.org/officeDocument/2006/relationships/hyperlink" Target="https://www.sec.gov/Archives/edgar/data/927066/000092706626000012/0000927066-26-000012-index.htm" TargetMode="External"/><Relationship Id="rId6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sec.gov/Archives/edgar/data/927066/000092706626000012/0000927066-26-000012-index.htm" TargetMode="External"/><Relationship Id="rId3" Type="http://schemas.openxmlformats.org/officeDocument/2006/relationships/hyperlink" Target="https://www.sec.gov/Archives/edgar/data/927066/000092706626000012/0000927066-26-000012-index.htm" TargetMode="External"/><Relationship Id="rId4" Type="http://schemas.openxmlformats.org/officeDocument/2006/relationships/hyperlink" Target="https://www.sec.gov/Archives/edgar/data/927066/000092706626000012/0000927066-26-000012-index.htm" TargetMode="External"/><Relationship Id="rId5" Type="http://schemas.openxmlformats.org/officeDocument/2006/relationships/hyperlink" Target="https://www.sec.gov/Archives/edgar/data/927066/000092706626000012/0000927066-26-000012-index.htm" TargetMode="External"/><Relationship Id="rId6" Type="http://schemas.openxmlformats.org/officeDocument/2006/relationships/hyperlink" Target="https://www.sec.gov/Archives/edgar/data/927066/000092706626000012/0000927066-26-000012-index.htm" TargetMode="External"/><Relationship Id="rId7" Type="http://schemas.openxmlformats.org/officeDocument/2006/relationships/hyperlink" Target="https://www.sec.gov/Archives/edgar/data/927066/000092706626000012/0000927066-26-000012-index.htm" TargetMode="External"/><Relationship Id="rId8" Type="http://schemas.openxmlformats.org/officeDocument/2006/relationships/hyperlink" Target="https://www.sec.gov/Archives/edgar/data/927066/000092706626000012/0000927066-26-000012-index.htm" TargetMode="External"/><Relationship Id="rId9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s://www.sec.gov/Archives/edgar/data/927066/000092706626000012/0000927066-26-000012-index.htm" TargetMode="External"/><Relationship Id="rId3" Type="http://schemas.openxmlformats.org/officeDocument/2006/relationships/hyperlink" Target="https://www.sec.gov/Archives/edgar/data/927066/000092706626000012/0000927066-26-000012-index.htm" TargetMode="External"/><Relationship Id="rId4" Type="http://schemas.openxmlformats.org/officeDocument/2006/relationships/hyperlink" Target="https://www.sec.gov/Archives/edgar/data/927066/000092706626000012/0000927066-26-000012-index.htm" TargetMode="External"/><Relationship Id="rId5" Type="http://schemas.openxmlformats.org/officeDocument/2006/relationships/hyperlink" Target="https://www.sec.gov/Archives/edgar/data/927066/000092706626000012/0000927066-26-000012-index.htm" TargetMode="External"/><Relationship Id="rId6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6" min="4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true" outlineLevel="0" collapsed="false">
      <c r="A3" s="2" t="s">
        <v>1</v>
      </c>
      <c r="B3" s="3" t="n">
        <v>1000</v>
      </c>
      <c r="C3" s="4" t="s">
        <v>2</v>
      </c>
      <c r="D3" s="4"/>
      <c r="E3" s="4"/>
      <c r="F3" s="4"/>
    </row>
    <row r="4" customFormat="false" ht="15" hidden="false" customHeight="false" outlineLevel="0" collapsed="false">
      <c r="A4" s="2" t="s">
        <v>3</v>
      </c>
      <c r="B4" s="5" t="n">
        <v>0.01</v>
      </c>
    </row>
    <row r="5" customFormat="false" ht="15" hidden="false" customHeight="false" outlineLevel="0" collapsed="false">
      <c r="A5" s="2" t="s">
        <v>4</v>
      </c>
      <c r="B5" s="6" t="s">
        <v>5</v>
      </c>
    </row>
    <row r="7" customFormat="false" ht="45" hidden="false" customHeight="true" outlineLevel="0" collapsed="false">
      <c r="A7" s="2" t="s">
        <v>6</v>
      </c>
      <c r="B7" s="4" t="s">
        <v>7</v>
      </c>
      <c r="C7" s="4"/>
      <c r="D7" s="4"/>
      <c r="E7" s="4"/>
      <c r="F7" s="4"/>
    </row>
    <row r="8" customFormat="false" ht="45" hidden="false" customHeight="true" outlineLevel="0" collapsed="false">
      <c r="A8" s="2" t="s">
        <v>8</v>
      </c>
      <c r="B8" s="4" t="s">
        <v>9</v>
      </c>
      <c r="C8" s="4"/>
      <c r="D8" s="4"/>
      <c r="E8" s="4"/>
      <c r="F8" s="4"/>
    </row>
    <row r="10" customFormat="false" ht="15" hidden="false" customHeight="false" outlineLevel="0" collapsed="false">
      <c r="A10" s="7" t="s">
        <v>10</v>
      </c>
      <c r="B10" s="7" t="s">
        <v>11</v>
      </c>
      <c r="C10" s="7" t="s">
        <v>12</v>
      </c>
      <c r="D10" s="7" t="s">
        <v>13</v>
      </c>
    </row>
    <row r="11" customFormat="false" ht="15" hidden="false" customHeight="false" outlineLevel="0" collapsed="false">
      <c r="A11" s="8" t="s">
        <v>14</v>
      </c>
      <c r="B11" s="9" t="n">
        <f aca="false">COUNT('Income statement'!D6:D10)+COUNT('Income statement'!H6:H10)</f>
        <v>0</v>
      </c>
      <c r="C11" s="9" t="n">
        <f aca="false">SUM('Income statement'!F6:F10)+SUM('Income statement'!J6:J10)</f>
        <v>0</v>
      </c>
      <c r="D11" s="10" t="str">
        <f aca="false">IF(B11=0,"",C11/B11)</f>
        <v/>
      </c>
    </row>
    <row r="12" customFormat="false" ht="15" hidden="false" customHeight="false" outlineLevel="0" collapsed="false">
      <c r="A12" s="8" t="s">
        <v>15</v>
      </c>
      <c r="B12" s="9" t="n">
        <f aca="false">COUNT('Cash flow'!D6:D9)+COUNT('Cash flow'!H6:H9)</f>
        <v>0</v>
      </c>
      <c r="C12" s="9" t="n">
        <f aca="false">SUM('Cash flow'!F6:F9)+SUM('Cash flow'!J6:J9)</f>
        <v>0</v>
      </c>
      <c r="D12" s="10" t="str">
        <f aca="false">IF(B12=0,"",C12/B12)</f>
        <v/>
      </c>
    </row>
    <row r="13" customFormat="false" ht="15" hidden="false" customHeight="false" outlineLevel="0" collapsed="false">
      <c r="A13" s="8" t="s">
        <v>16</v>
      </c>
      <c r="B13" s="9" t="n">
        <f aca="false">COUNT('Balance sheet'!D6:D14)+COUNT('Balance sheet'!H6:H14)</f>
        <v>0</v>
      </c>
      <c r="C13" s="9" t="n">
        <f aca="false">SUM('Balance sheet'!F6:F14)+SUM('Balance sheet'!J6:J14)</f>
        <v>0</v>
      </c>
      <c r="D13" s="10" t="str">
        <f aca="false">IF(B13=0,"",C13/B13)</f>
        <v/>
      </c>
    </row>
    <row r="14" customFormat="false" ht="15" hidden="false" customHeight="false" outlineLevel="0" collapsed="false">
      <c r="A14" s="8" t="s">
        <v>17</v>
      </c>
      <c r="B14" s="9" t="n">
        <f aca="false">COUNT(Notes!D6:D9)+COUNT(Notes!H6:H9)</f>
        <v>0</v>
      </c>
      <c r="C14" s="9" t="n">
        <f aca="false">SUM(Notes!F6:F9)+SUM(Notes!J6:J9)</f>
        <v>0</v>
      </c>
      <c r="D14" s="10" t="str">
        <f aca="false">IF(B14=0,"",C14/B14)</f>
        <v/>
      </c>
    </row>
    <row r="15" customFormat="false" ht="15" hidden="false" customHeight="false" outlineLevel="0" collapsed="false">
      <c r="A15" s="11" t="s">
        <v>18</v>
      </c>
      <c r="B15" s="12" t="n">
        <f aca="false">SUM(B11:B14)</f>
        <v>0</v>
      </c>
      <c r="C15" s="12" t="n">
        <f aca="false">SUM(C11:C14)</f>
        <v>0</v>
      </c>
      <c r="D15" s="13" t="str">
        <f aca="false">IF(B15=0,"",C15/B15)</f>
        <v/>
      </c>
    </row>
  </sheetData>
  <mergeCells count="3">
    <mergeCell ref="C3:F3"/>
    <mergeCell ref="B7:F7"/>
    <mergeCell ref="B8:F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4" min="3" style="0" width="13"/>
    <col collapsed="false" customWidth="true" hidden="false" outlineLevel="0" max="5" min="5" style="0" width="9"/>
    <col collapsed="false" customWidth="true" hidden="false" outlineLevel="0" max="6" min="6" style="0" width="5"/>
    <col collapsed="false" customWidth="true" hidden="false" outlineLevel="0" max="8" min="7" style="0" width="13"/>
    <col collapsed="false" customWidth="true" hidden="false" outlineLevel="0" max="9" min="9" style="0" width="9"/>
    <col collapsed="false" customWidth="true" hidden="false" outlineLevel="0" max="10" min="10" style="0" width="5"/>
    <col collapsed="false" customWidth="true" hidden="false" outlineLevel="0" max="11" min="11" style="0" width="26"/>
    <col collapsed="false" customWidth="true" hidden="false" outlineLevel="0" max="12" min="12" style="0" width="42"/>
    <col collapsed="false" customWidth="true" hidden="false" outlineLevel="0" max="13" min="13" style="0" width="20"/>
    <col collapsed="false" customWidth="true" hidden="false" outlineLevel="0" max="14" min="14" style="0" width="50"/>
    <col collapsed="false" customWidth="true" hidden="true" outlineLevel="0" max="15" min="15" style="0" width="22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14" t="s">
        <v>20</v>
      </c>
    </row>
    <row r="4" customFormat="false" ht="15" hidden="false" customHeight="true" outlineLevel="0" collapsed="false">
      <c r="C4" s="15" t="s">
        <v>21</v>
      </c>
      <c r="D4" s="15"/>
      <c r="E4" s="15"/>
      <c r="F4" s="15"/>
      <c r="G4" s="15" t="s">
        <v>22</v>
      </c>
      <c r="H4" s="15"/>
      <c r="I4" s="15"/>
      <c r="J4" s="15"/>
    </row>
    <row r="5" customFormat="false" ht="15" hidden="false" customHeight="false" outlineLevel="0" collapsed="false">
      <c r="A5" s="16" t="s">
        <v>23</v>
      </c>
      <c r="B5" s="16" t="s">
        <v>24</v>
      </c>
      <c r="C5" s="16" t="s">
        <v>25</v>
      </c>
      <c r="D5" s="16" t="s">
        <v>26</v>
      </c>
      <c r="E5" s="16" t="s">
        <v>27</v>
      </c>
      <c r="F5" s="16" t="s">
        <v>28</v>
      </c>
      <c r="G5" s="16" t="s">
        <v>25</v>
      </c>
      <c r="H5" s="16" t="s">
        <v>26</v>
      </c>
      <c r="I5" s="16" t="s">
        <v>27</v>
      </c>
      <c r="J5" s="16" t="s">
        <v>28</v>
      </c>
      <c r="K5" s="16" t="s">
        <v>29</v>
      </c>
      <c r="L5" s="16" t="s">
        <v>30</v>
      </c>
      <c r="M5" s="16" t="s">
        <v>31</v>
      </c>
      <c r="N5" s="16" t="s">
        <v>32</v>
      </c>
      <c r="O5" s="16" t="s">
        <v>33</v>
      </c>
    </row>
    <row r="6" customFormat="false" ht="15" hidden="false" customHeight="false" outlineLevel="0" collapsed="false">
      <c r="A6" s="17" t="s">
        <v>34</v>
      </c>
      <c r="B6" s="18" t="s">
        <v>35</v>
      </c>
      <c r="C6" s="19" t="n">
        <f aca="false">12815550000/Summary!$B$3</f>
        <v>12815550</v>
      </c>
      <c r="D6" s="20"/>
      <c r="E6" s="21" t="str">
        <f aca="false">IF(OR(D6="",C6=""),"",IF(D6=0,IF(C6=0,0,1),(C6-D6)/ABS(D6)))</f>
        <v/>
      </c>
      <c r="F6" s="22" t="str">
        <f aca="false">IF(E6="","",IF(ABS(E6)&lt;=Summary!$B$4,1,0))</f>
        <v/>
      </c>
      <c r="G6" s="19" t="n">
        <f aca="false">13643069000/Summary!$B$3</f>
        <v>13643069</v>
      </c>
      <c r="H6" s="20"/>
      <c r="I6" s="21" t="str">
        <f aca="false">IF(OR(H6="",G6=""),"",IF(H6=0,IF(G6=0,0,1),(G6-H6)/ABS(H6)))</f>
        <v/>
      </c>
      <c r="J6" s="22" t="str">
        <f aca="false">IF(I6="","",IF(ABS(I6)&lt;=Summary!$B$4,1,0))</f>
        <v/>
      </c>
      <c r="K6" s="23"/>
      <c r="L6" s="18" t="s">
        <v>36</v>
      </c>
      <c r="M6" s="24" t="s">
        <v>37</v>
      </c>
      <c r="N6" s="18"/>
      <c r="O6" s="14" t="s">
        <v>38</v>
      </c>
    </row>
    <row r="7" customFormat="false" ht="15" hidden="false" customHeight="false" outlineLevel="0" collapsed="false">
      <c r="A7" s="17" t="s">
        <v>39</v>
      </c>
      <c r="B7" s="18" t="s">
        <v>39</v>
      </c>
      <c r="C7" s="19" t="n">
        <f aca="false">2090483000/Summary!$B$3</f>
        <v>2090483</v>
      </c>
      <c r="D7" s="20"/>
      <c r="E7" s="21" t="str">
        <f aca="false">IF(OR(D7="",C7=""),"",IF(D7=0,IF(C7=0,0,1),(C7-D7)/ABS(D7)))</f>
        <v/>
      </c>
      <c r="F7" s="22" t="str">
        <f aca="false">IF(E7="","",IF(ABS(E7)&lt;=Summary!$B$4,1,0))</f>
        <v/>
      </c>
      <c r="G7" s="19" t="n">
        <f aca="false">2043615000/Summary!$B$3</f>
        <v>2043615</v>
      </c>
      <c r="H7" s="20"/>
      <c r="I7" s="21" t="str">
        <f aca="false">IF(OR(H7="",G7=""),"",IF(H7=0,IF(G7=0,0,1),(G7-H7)/ABS(H7)))</f>
        <v/>
      </c>
      <c r="J7" s="22" t="str">
        <f aca="false">IF(I7="","",IF(ABS(I7)&lt;=Summary!$B$4,1,0))</f>
        <v/>
      </c>
      <c r="K7" s="23"/>
      <c r="L7" s="18" t="s">
        <v>40</v>
      </c>
      <c r="M7" s="24" t="s">
        <v>37</v>
      </c>
      <c r="N7" s="18"/>
      <c r="O7" s="14" t="s">
        <v>41</v>
      </c>
    </row>
    <row r="8" customFormat="false" ht="15" hidden="false" customHeight="false" outlineLevel="0" collapsed="false">
      <c r="A8" s="17" t="s">
        <v>42</v>
      </c>
      <c r="B8" s="18" t="s">
        <v>43</v>
      </c>
      <c r="C8" s="19" t="n">
        <f aca="false">435203000/Summary!$B$3</f>
        <v>435203</v>
      </c>
      <c r="D8" s="20"/>
      <c r="E8" s="21" t="str">
        <f aca="false">IF(OR(D8="",C8=""),"",IF(D8=0,IF(C8=0,0,1),(C8-D8)/ABS(D8)))</f>
        <v/>
      </c>
      <c r="F8" s="22" t="str">
        <f aca="false">IF(E8="","",IF(ABS(E8)&lt;=Summary!$B$4,1,0))</f>
        <v/>
      </c>
      <c r="G8" s="19" t="n">
        <f aca="false">539924000/Summary!$B$3</f>
        <v>539924</v>
      </c>
      <c r="H8" s="20"/>
      <c r="I8" s="21" t="str">
        <f aca="false">IF(OR(H8="",G8=""),"",IF(H8=0,IF(G8=0,0,1),(G8-H8)/ABS(H8)))</f>
        <v/>
      </c>
      <c r="J8" s="22" t="str">
        <f aca="false">IF(I8="","",IF(ABS(I8)&lt;=Summary!$B$4,1,0))</f>
        <v/>
      </c>
      <c r="K8" s="23"/>
      <c r="L8" s="18" t="s">
        <v>44</v>
      </c>
      <c r="M8" s="24" t="s">
        <v>37</v>
      </c>
      <c r="N8" s="18"/>
      <c r="O8" s="14" t="s">
        <v>45</v>
      </c>
    </row>
    <row r="9" customFormat="false" ht="15" hidden="false" customHeight="false" outlineLevel="0" collapsed="false">
      <c r="A9" s="17" t="s">
        <v>46</v>
      </c>
      <c r="B9" s="18" t="s">
        <v>47</v>
      </c>
      <c r="C9" s="19" t="n">
        <f aca="false">1530393000/Summary!$B$3</f>
        <v>1530393</v>
      </c>
      <c r="D9" s="20"/>
      <c r="E9" s="21" t="str">
        <f aca="false">IF(OR(D9="",C9=""),"",IF(D9=0,IF(C9=0,0,1),(C9-D9)/ABS(D9)))</f>
        <v/>
      </c>
      <c r="F9" s="22" t="str">
        <f aca="false">IF(E9="","",IF(ABS(E9)&lt;=Summary!$B$4,1,0))</f>
        <v/>
      </c>
      <c r="G9" s="19" t="n">
        <f aca="false">1346823000/Summary!$B$3</f>
        <v>1346823</v>
      </c>
      <c r="H9" s="20"/>
      <c r="I9" s="21" t="str">
        <f aca="false">IF(OR(H9="",G9=""),"",IF(H9=0,IF(G9=0,0,1),(G9-H9)/ABS(H9)))</f>
        <v/>
      </c>
      <c r="J9" s="22" t="str">
        <f aca="false">IF(I9="","",IF(ABS(I9)&lt;=Summary!$B$4,1,0))</f>
        <v/>
      </c>
      <c r="K9" s="23"/>
      <c r="L9" s="18" t="s">
        <v>48</v>
      </c>
      <c r="M9" s="24" t="s">
        <v>37</v>
      </c>
      <c r="N9" s="18"/>
      <c r="O9" s="14" t="s">
        <v>49</v>
      </c>
    </row>
    <row r="10" customFormat="false" ht="15" hidden="false" customHeight="false" outlineLevel="0" collapsed="false">
      <c r="A10" s="17" t="s">
        <v>50</v>
      </c>
      <c r="B10" s="18" t="s">
        <v>51</v>
      </c>
      <c r="C10" s="19" t="n">
        <f aca="false">936342000/Summary!$B$3</f>
        <v>936342</v>
      </c>
      <c r="D10" s="20"/>
      <c r="E10" s="21" t="str">
        <f aca="false">IF(OR(D10="",C10=""),"",IF(D10=0,IF(C10=0,0,1),(C10-D10)/ABS(D10)))</f>
        <v/>
      </c>
      <c r="F10" s="22" t="str">
        <f aca="false">IF(E10="","",IF(ABS(E10)&lt;=Summary!$B$4,1,0))</f>
        <v/>
      </c>
      <c r="G10" s="19" t="n">
        <f aca="false">746803000/Summary!$B$3</f>
        <v>746803</v>
      </c>
      <c r="H10" s="20"/>
      <c r="I10" s="21" t="str">
        <f aca="false">IF(OR(H10="",G10=""),"",IF(H10=0,IF(G10=0,0,1),(G10-H10)/ABS(H10)))</f>
        <v/>
      </c>
      <c r="J10" s="22" t="str">
        <f aca="false">IF(I10="","",IF(ABS(I10)&lt;=Summary!$B$4,1,0))</f>
        <v/>
      </c>
      <c r="K10" s="23"/>
      <c r="L10" s="18" t="s">
        <v>52</v>
      </c>
      <c r="M10" s="24" t="s">
        <v>37</v>
      </c>
      <c r="N10" s="18"/>
      <c r="O10" s="14" t="s">
        <v>53</v>
      </c>
    </row>
  </sheetData>
  <mergeCells count="2">
    <mergeCell ref="C4:F4"/>
    <mergeCell ref="G4:J4"/>
  </mergeCells>
  <conditionalFormatting sqref="E6:F6">
    <cfRule type="expression" priority="2" aboveAverage="0" equalAverage="0" bottom="0" percent="0" rank="0" text="" dxfId="0">
      <formula>AND($E6&lt;&gt;"",ABS($E6)&gt;Summary!$B$4)</formula>
    </cfRule>
  </conditionalFormatting>
  <conditionalFormatting sqref="I6:J6">
    <cfRule type="expression" priority="3" aboveAverage="0" equalAverage="0" bottom="0" percent="0" rank="0" text="" dxfId="0">
      <formula>AND($I6&lt;&gt;"",ABS($I6)&gt;Summary!$B$4)</formula>
    </cfRule>
  </conditionalFormatting>
  <conditionalFormatting sqref="E7:F7">
    <cfRule type="expression" priority="4" aboveAverage="0" equalAverage="0" bottom="0" percent="0" rank="0" text="" dxfId="0">
      <formula>AND($E7&lt;&gt;"",ABS($E7)&gt;Summary!$B$4)</formula>
    </cfRule>
  </conditionalFormatting>
  <conditionalFormatting sqref="I7:J7">
    <cfRule type="expression" priority="5" aboveAverage="0" equalAverage="0" bottom="0" percent="0" rank="0" text="" dxfId="0">
      <formula>AND($I7&lt;&gt;"",ABS($I7)&gt;Summary!$B$4)</formula>
    </cfRule>
  </conditionalFormatting>
  <conditionalFormatting sqref="E8:F8">
    <cfRule type="expression" priority="6" aboveAverage="0" equalAverage="0" bottom="0" percent="0" rank="0" text="" dxfId="0">
      <formula>AND($E8&lt;&gt;"",ABS($E8)&gt;Summary!$B$4)</formula>
    </cfRule>
  </conditionalFormatting>
  <conditionalFormatting sqref="I8:J8">
    <cfRule type="expression" priority="7" aboveAverage="0" equalAverage="0" bottom="0" percent="0" rank="0" text="" dxfId="0">
      <formula>AND($I8&lt;&gt;"",ABS($I8)&gt;Summary!$B$4)</formula>
    </cfRule>
  </conditionalFormatting>
  <conditionalFormatting sqref="E9:F9">
    <cfRule type="expression" priority="8" aboveAverage="0" equalAverage="0" bottom="0" percent="0" rank="0" text="" dxfId="0">
      <formula>AND($E9&lt;&gt;"",ABS($E9)&gt;Summary!$B$4)</formula>
    </cfRule>
  </conditionalFormatting>
  <conditionalFormatting sqref="I9:J9">
    <cfRule type="expression" priority="9" aboveAverage="0" equalAverage="0" bottom="0" percent="0" rank="0" text="" dxfId="0">
      <formula>AND($I9&lt;&gt;"",ABS($I9)&gt;Summary!$B$4)</formula>
    </cfRule>
  </conditionalFormatting>
  <conditionalFormatting sqref="E10:F10">
    <cfRule type="expression" priority="10" aboveAverage="0" equalAverage="0" bottom="0" percent="0" rank="0" text="" dxfId="0">
      <formula>AND($E10&lt;&gt;"",ABS($E10)&gt;Summary!$B$4)</formula>
    </cfRule>
  </conditionalFormatting>
  <conditionalFormatting sqref="I10:J10">
    <cfRule type="expression" priority="11" aboveAverage="0" equalAverage="0" bottom="0" percent="0" rank="0" text="" dxfId="0">
      <formula>AND($I10&lt;&gt;"",ABS($I10)&gt;Summary!$B$4)</formula>
    </cfRule>
  </conditionalFormatting>
  <dataValidations count="1">
    <dataValidation allowBlank="true" error="Type a number, as printed in the 10-K" errorStyle="stop" errorTitle="Number expected" operator="between" showDropDown="false" showErrorMessage="false" showInputMessage="false" sqref="D6:D10 H6:H10" type="decimal">
      <formula1>0</formula1>
      <formula2>0</formula2>
    </dataValidation>
  </dataValidations>
  <hyperlinks>
    <hyperlink ref="M6" r:id="rId2" display="10-K filed 2026-02-11"/>
    <hyperlink ref="M7" r:id="rId3" display="10-K filed 2026-02-11"/>
    <hyperlink ref="M8" r:id="rId4" display="10-K filed 2026-02-11"/>
    <hyperlink ref="M9" r:id="rId5" display="10-K filed 2026-02-11"/>
    <hyperlink ref="M10" r:id="rId6" display="10-K filed 2026-02-1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4" min="3" style="0" width="13"/>
    <col collapsed="false" customWidth="true" hidden="false" outlineLevel="0" max="5" min="5" style="0" width="9"/>
    <col collapsed="false" customWidth="true" hidden="false" outlineLevel="0" max="6" min="6" style="0" width="5"/>
    <col collapsed="false" customWidth="true" hidden="false" outlineLevel="0" max="8" min="7" style="0" width="13"/>
    <col collapsed="false" customWidth="true" hidden="false" outlineLevel="0" max="9" min="9" style="0" width="9"/>
    <col collapsed="false" customWidth="true" hidden="false" outlineLevel="0" max="10" min="10" style="0" width="5"/>
    <col collapsed="false" customWidth="true" hidden="false" outlineLevel="0" max="11" min="11" style="0" width="26"/>
    <col collapsed="false" customWidth="true" hidden="false" outlineLevel="0" max="12" min="12" style="0" width="42"/>
    <col collapsed="false" customWidth="true" hidden="false" outlineLevel="0" max="13" min="13" style="0" width="20"/>
    <col collapsed="false" customWidth="true" hidden="false" outlineLevel="0" max="14" min="14" style="0" width="50"/>
    <col collapsed="false" customWidth="true" hidden="true" outlineLevel="0" max="15" min="15" style="0" width="22"/>
  </cols>
  <sheetData>
    <row r="1" customFormat="false" ht="17.35" hidden="false" customHeight="false" outlineLevel="0" collapsed="false">
      <c r="A1" s="1" t="s">
        <v>54</v>
      </c>
    </row>
    <row r="2" customFormat="false" ht="15" hidden="false" customHeight="false" outlineLevel="0" collapsed="false">
      <c r="A2" s="14" t="s">
        <v>20</v>
      </c>
    </row>
    <row r="4" customFormat="false" ht="15" hidden="false" customHeight="true" outlineLevel="0" collapsed="false">
      <c r="C4" s="15" t="s">
        <v>21</v>
      </c>
      <c r="D4" s="15"/>
      <c r="E4" s="15"/>
      <c r="F4" s="15"/>
      <c r="G4" s="15" t="s">
        <v>22</v>
      </c>
      <c r="H4" s="15"/>
      <c r="I4" s="15"/>
      <c r="J4" s="15"/>
    </row>
    <row r="5" customFormat="false" ht="15" hidden="false" customHeight="false" outlineLevel="0" collapsed="false">
      <c r="A5" s="16" t="s">
        <v>23</v>
      </c>
      <c r="B5" s="16" t="s">
        <v>24</v>
      </c>
      <c r="C5" s="16" t="s">
        <v>25</v>
      </c>
      <c r="D5" s="16" t="s">
        <v>26</v>
      </c>
      <c r="E5" s="16" t="s">
        <v>27</v>
      </c>
      <c r="F5" s="16" t="s">
        <v>28</v>
      </c>
      <c r="G5" s="16" t="s">
        <v>25</v>
      </c>
      <c r="H5" s="16" t="s">
        <v>26</v>
      </c>
      <c r="I5" s="16" t="s">
        <v>27</v>
      </c>
      <c r="J5" s="16" t="s">
        <v>28</v>
      </c>
      <c r="K5" s="16" t="s">
        <v>29</v>
      </c>
      <c r="L5" s="16" t="s">
        <v>30</v>
      </c>
      <c r="M5" s="16" t="s">
        <v>31</v>
      </c>
      <c r="N5" s="16" t="s">
        <v>32</v>
      </c>
      <c r="O5" s="16" t="s">
        <v>33</v>
      </c>
    </row>
    <row r="6" customFormat="false" ht="15" hidden="false" customHeight="false" outlineLevel="0" collapsed="false">
      <c r="A6" s="17" t="s">
        <v>55</v>
      </c>
      <c r="B6" s="18" t="s">
        <v>56</v>
      </c>
      <c r="C6" s="19" t="n">
        <f aca="false">2022038000/Summary!$B$3</f>
        <v>2022038</v>
      </c>
      <c r="D6" s="20"/>
      <c r="E6" s="21" t="str">
        <f aca="false">IF(OR(D6="",C6=""),"",IF(D6=0,IF(C6=0,0,1),(C6-D6)/ABS(D6)))</f>
        <v/>
      </c>
      <c r="F6" s="22" t="str">
        <f aca="false">IF(E6="","",IF(ABS(E6)&lt;=Summary!$B$4,1,0))</f>
        <v/>
      </c>
      <c r="G6" s="19" t="n">
        <f aca="false">1886500000/Summary!$B$3</f>
        <v>1886500</v>
      </c>
      <c r="H6" s="20"/>
      <c r="I6" s="21" t="str">
        <f aca="false">IF(OR(H6="",G6=""),"",IF(H6=0,IF(G6=0,0,1),(G6-H6)/ABS(H6)))</f>
        <v/>
      </c>
      <c r="J6" s="22" t="str">
        <f aca="false">IF(I6="","",IF(ABS(I6)&lt;=Summary!$B$4,1,0))</f>
        <v/>
      </c>
      <c r="K6" s="23"/>
      <c r="L6" s="18" t="s">
        <v>57</v>
      </c>
      <c r="M6" s="24" t="s">
        <v>37</v>
      </c>
      <c r="N6" s="18"/>
      <c r="O6" s="14" t="s">
        <v>58</v>
      </c>
    </row>
    <row r="7" customFormat="false" ht="15" hidden="false" customHeight="false" outlineLevel="0" collapsed="false">
      <c r="A7" s="17" t="s">
        <v>59</v>
      </c>
      <c r="B7" s="18" t="s">
        <v>60</v>
      </c>
      <c r="C7" s="19" t="n">
        <f aca="false">716396000/Summary!$B$3</f>
        <v>716396</v>
      </c>
      <c r="D7" s="20"/>
      <c r="E7" s="21" t="str">
        <f aca="false">IF(OR(D7="",C7=""),"",IF(D7=0,IF(C7=0,0,1),(C7-D7)/ABS(D7)))</f>
        <v/>
      </c>
      <c r="F7" s="22" t="str">
        <f aca="false">IF(E7="","",IF(ABS(E7)&lt;=Summary!$B$4,1,0))</f>
        <v/>
      </c>
      <c r="G7" s="19" t="n">
        <f aca="false">708252000/Summary!$B$3</f>
        <v>708252</v>
      </c>
      <c r="H7" s="20"/>
      <c r="I7" s="21" t="str">
        <f aca="false">IF(OR(H7="",G7=""),"",IF(H7=0,IF(G7=0,0,1),(G7-H7)/ABS(H7)))</f>
        <v/>
      </c>
      <c r="J7" s="22" t="str">
        <f aca="false">IF(I7="","",IF(ABS(I7)&lt;=Summary!$B$4,1,0))</f>
        <v/>
      </c>
      <c r="K7" s="23"/>
      <c r="L7" s="18" t="s">
        <v>61</v>
      </c>
      <c r="M7" s="24" t="s">
        <v>37</v>
      </c>
      <c r="N7" s="18"/>
      <c r="O7" s="14" t="s">
        <v>62</v>
      </c>
    </row>
    <row r="8" customFormat="false" ht="15" hidden="false" customHeight="false" outlineLevel="0" collapsed="false">
      <c r="A8" s="17" t="s">
        <v>63</v>
      </c>
      <c r="B8" s="18" t="s">
        <v>64</v>
      </c>
      <c r="C8" s="19" t="n">
        <f aca="false">555443000/Summary!$B$3</f>
        <v>555443</v>
      </c>
      <c r="D8" s="20"/>
      <c r="E8" s="21" t="str">
        <f aca="false">IF(OR(D8="",C8=""),"",IF(D8=0,IF(C8=0,0,1),(C8-D8)/ABS(D8)))</f>
        <v/>
      </c>
      <c r="F8" s="22" t="str">
        <f aca="false">IF(E8="","",IF(ABS(E8)&lt;=Summary!$B$4,1,0))</f>
        <v/>
      </c>
      <c r="G8" s="19" t="n">
        <f aca="false">575864000/Summary!$B$3</f>
        <v>575864</v>
      </c>
      <c r="H8" s="20"/>
      <c r="I8" s="21" t="str">
        <f aca="false">IF(OR(H8="",G8=""),"",IF(H8=0,IF(G8=0,0,1),(G8-H8)/ABS(H8)))</f>
        <v/>
      </c>
      <c r="J8" s="22" t="str">
        <f aca="false">IF(I8="","",IF(ABS(I8)&lt;=Summary!$B$4,1,0))</f>
        <v/>
      </c>
      <c r="K8" s="23"/>
      <c r="L8" s="18" t="s">
        <v>65</v>
      </c>
      <c r="M8" s="24" t="s">
        <v>37</v>
      </c>
      <c r="N8" s="18"/>
      <c r="O8" s="14" t="s">
        <v>66</v>
      </c>
    </row>
    <row r="9" customFormat="false" ht="15" hidden="false" customHeight="false" outlineLevel="0" collapsed="false">
      <c r="A9" s="17" t="s">
        <v>67</v>
      </c>
      <c r="B9" s="18" t="s">
        <v>68</v>
      </c>
      <c r="C9" s="19" t="n">
        <f aca="false">387940000/Summary!$B$3</f>
        <v>387940</v>
      </c>
      <c r="D9" s="20"/>
      <c r="E9" s="21" t="str">
        <f aca="false">IF(OR(D9="",C9=""),"",IF(D9=0,IF(C9=0,0,1),(C9-D9)/ABS(D9)))</f>
        <v/>
      </c>
      <c r="F9" s="22" t="str">
        <f aca="false">IF(E9="","",IF(ABS(E9)&lt;=Summary!$B$4,1,0))</f>
        <v/>
      </c>
      <c r="G9" s="19" t="n">
        <f aca="false">176688000/Summary!$B$3</f>
        <v>176688</v>
      </c>
      <c r="H9" s="20"/>
      <c r="I9" s="21" t="str">
        <f aca="false">IF(OR(H9="",G9=""),"",IF(H9=0,IF(G9=0,0,1),(G9-H9)/ABS(H9)))</f>
        <v/>
      </c>
      <c r="J9" s="22" t="str">
        <f aca="false">IF(I9="","",IF(ABS(I9)&lt;=Summary!$B$4,1,0))</f>
        <v/>
      </c>
      <c r="K9" s="23"/>
      <c r="L9" s="18" t="s">
        <v>69</v>
      </c>
      <c r="M9" s="24" t="s">
        <v>37</v>
      </c>
      <c r="N9" s="18"/>
      <c r="O9" s="14" t="s">
        <v>70</v>
      </c>
    </row>
  </sheetData>
  <mergeCells count="2">
    <mergeCell ref="C4:F4"/>
    <mergeCell ref="G4:J4"/>
  </mergeCells>
  <conditionalFormatting sqref="E6:F6">
    <cfRule type="expression" priority="2" aboveAverage="0" equalAverage="0" bottom="0" percent="0" rank="0" text="" dxfId="0">
      <formula>AND($E6&lt;&gt;"",ABS($E6)&gt;Summary!$B$4)</formula>
    </cfRule>
  </conditionalFormatting>
  <conditionalFormatting sqref="I6:J6">
    <cfRule type="expression" priority="3" aboveAverage="0" equalAverage="0" bottom="0" percent="0" rank="0" text="" dxfId="0">
      <formula>AND($I6&lt;&gt;"",ABS($I6)&gt;Summary!$B$4)</formula>
    </cfRule>
  </conditionalFormatting>
  <conditionalFormatting sqref="E7:F7">
    <cfRule type="expression" priority="4" aboveAverage="0" equalAverage="0" bottom="0" percent="0" rank="0" text="" dxfId="0">
      <formula>AND($E7&lt;&gt;"",ABS($E7)&gt;Summary!$B$4)</formula>
    </cfRule>
  </conditionalFormatting>
  <conditionalFormatting sqref="I7:J7">
    <cfRule type="expression" priority="5" aboveAverage="0" equalAverage="0" bottom="0" percent="0" rank="0" text="" dxfId="0">
      <formula>AND($I7&lt;&gt;"",ABS($I7)&gt;Summary!$B$4)</formula>
    </cfRule>
  </conditionalFormatting>
  <conditionalFormatting sqref="E8:F8">
    <cfRule type="expression" priority="6" aboveAverage="0" equalAverage="0" bottom="0" percent="0" rank="0" text="" dxfId="0">
      <formula>AND($E8&lt;&gt;"",ABS($E8)&gt;Summary!$B$4)</formula>
    </cfRule>
  </conditionalFormatting>
  <conditionalFormatting sqref="I8:J8">
    <cfRule type="expression" priority="7" aboveAverage="0" equalAverage="0" bottom="0" percent="0" rank="0" text="" dxfId="0">
      <formula>AND($I8&lt;&gt;"",ABS($I8)&gt;Summary!$B$4)</formula>
    </cfRule>
  </conditionalFormatting>
  <conditionalFormatting sqref="E9:F9">
    <cfRule type="expression" priority="8" aboveAverage="0" equalAverage="0" bottom="0" percent="0" rank="0" text="" dxfId="0">
      <formula>AND($E9&lt;&gt;"",ABS($E9)&gt;Summary!$B$4)</formula>
    </cfRule>
  </conditionalFormatting>
  <conditionalFormatting sqref="I9:J9">
    <cfRule type="expression" priority="9" aboveAverage="0" equalAverage="0" bottom="0" percent="0" rank="0" text="" dxfId="0">
      <formula>AND($I9&lt;&gt;"",ABS($I9)&gt;Summary!$B$4)</formula>
    </cfRule>
  </conditionalFormatting>
  <dataValidations count="1">
    <dataValidation allowBlank="true" error="Type a number, as printed in the 10-K" errorStyle="stop" errorTitle="Number expected" operator="between" showDropDown="false" showErrorMessage="false" showInputMessage="false" sqref="D6:D9 H6:H9" type="decimal">
      <formula1>0</formula1>
      <formula2>0</formula2>
    </dataValidation>
  </dataValidations>
  <hyperlinks>
    <hyperlink ref="M6" r:id="rId2" display="10-K filed 2026-02-11"/>
    <hyperlink ref="M7" r:id="rId3" display="10-K filed 2026-02-11"/>
    <hyperlink ref="M8" r:id="rId4" display="10-K filed 2026-02-11"/>
    <hyperlink ref="M9" r:id="rId5" display="10-K filed 2026-02-1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4" min="3" style="0" width="13"/>
    <col collapsed="false" customWidth="true" hidden="false" outlineLevel="0" max="5" min="5" style="0" width="9"/>
    <col collapsed="false" customWidth="true" hidden="false" outlineLevel="0" max="6" min="6" style="0" width="5"/>
    <col collapsed="false" customWidth="true" hidden="false" outlineLevel="0" max="8" min="7" style="0" width="13"/>
    <col collapsed="false" customWidth="true" hidden="false" outlineLevel="0" max="9" min="9" style="0" width="9"/>
    <col collapsed="false" customWidth="true" hidden="false" outlineLevel="0" max="10" min="10" style="0" width="5"/>
    <col collapsed="false" customWidth="true" hidden="false" outlineLevel="0" max="11" min="11" style="0" width="26"/>
    <col collapsed="false" customWidth="true" hidden="false" outlineLevel="0" max="12" min="12" style="0" width="42"/>
    <col collapsed="false" customWidth="true" hidden="false" outlineLevel="0" max="13" min="13" style="0" width="20"/>
    <col collapsed="false" customWidth="true" hidden="false" outlineLevel="0" max="14" min="14" style="0" width="50"/>
    <col collapsed="false" customWidth="true" hidden="true" outlineLevel="0" max="15" min="15" style="0" width="22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14" t="s">
        <v>20</v>
      </c>
    </row>
    <row r="4" customFormat="false" ht="15" hidden="false" customHeight="true" outlineLevel="0" collapsed="false">
      <c r="C4" s="15" t="s">
        <v>21</v>
      </c>
      <c r="D4" s="15"/>
      <c r="E4" s="15"/>
      <c r="F4" s="15"/>
      <c r="G4" s="15" t="s">
        <v>22</v>
      </c>
      <c r="H4" s="15"/>
      <c r="I4" s="15"/>
      <c r="J4" s="15"/>
    </row>
    <row r="5" customFormat="false" ht="15" hidden="false" customHeight="false" outlineLevel="0" collapsed="false">
      <c r="A5" s="16" t="s">
        <v>23</v>
      </c>
      <c r="B5" s="16" t="s">
        <v>24</v>
      </c>
      <c r="C5" s="16" t="s">
        <v>25</v>
      </c>
      <c r="D5" s="16" t="s">
        <v>26</v>
      </c>
      <c r="E5" s="16" t="s">
        <v>27</v>
      </c>
      <c r="F5" s="16" t="s">
        <v>28</v>
      </c>
      <c r="G5" s="16" t="s">
        <v>25</v>
      </c>
      <c r="H5" s="16" t="s">
        <v>26</v>
      </c>
      <c r="I5" s="16" t="s">
        <v>27</v>
      </c>
      <c r="J5" s="16" t="s">
        <v>28</v>
      </c>
      <c r="K5" s="16" t="s">
        <v>29</v>
      </c>
      <c r="L5" s="16" t="s">
        <v>30</v>
      </c>
      <c r="M5" s="16" t="s">
        <v>31</v>
      </c>
      <c r="N5" s="16" t="s">
        <v>32</v>
      </c>
      <c r="O5" s="16" t="s">
        <v>33</v>
      </c>
    </row>
    <row r="6" customFormat="false" ht="15" hidden="false" customHeight="false" outlineLevel="0" collapsed="false">
      <c r="A6" s="17" t="s">
        <v>72</v>
      </c>
      <c r="B6" s="18" t="s">
        <v>73</v>
      </c>
      <c r="C6" s="19" t="n">
        <f aca="false">794933000/Summary!$B$3</f>
        <v>794933</v>
      </c>
      <c r="D6" s="20"/>
      <c r="E6" s="21" t="str">
        <f aca="false">IF(OR(D6="",C6=""),"",IF(D6=0,IF(C6=0,0,1),(C6-D6)/ABS(D6)))</f>
        <v/>
      </c>
      <c r="F6" s="22" t="str">
        <f aca="false">IF(E6="","",IF(ABS(E6)&lt;=Summary!$B$4,1,0))</f>
        <v/>
      </c>
      <c r="G6" s="19" t="n">
        <f aca="false">676438000/Summary!$B$3</f>
        <v>676438</v>
      </c>
      <c r="H6" s="20"/>
      <c r="I6" s="21" t="str">
        <f aca="false">IF(OR(H6="",G6=""),"",IF(H6=0,IF(G6=0,0,1),(G6-H6)/ABS(H6)))</f>
        <v/>
      </c>
      <c r="J6" s="22" t="str">
        <f aca="false">IF(I6="","",IF(ABS(I6)&lt;=Summary!$B$4,1,0))</f>
        <v/>
      </c>
      <c r="K6" s="23"/>
      <c r="L6" s="18" t="s">
        <v>74</v>
      </c>
      <c r="M6" s="24" t="s">
        <v>37</v>
      </c>
      <c r="N6" s="18"/>
      <c r="O6" s="14" t="s">
        <v>75</v>
      </c>
    </row>
    <row r="7" customFormat="false" ht="15" hidden="false" customHeight="false" outlineLevel="0" collapsed="false">
      <c r="A7" s="17" t="s">
        <v>76</v>
      </c>
      <c r="B7" s="18" t="s">
        <v>77</v>
      </c>
      <c r="C7" s="19" t="n">
        <f aca="false">3746072000/Summary!$B$3</f>
        <v>3746072</v>
      </c>
      <c r="D7" s="20"/>
      <c r="E7" s="21" t="str">
        <f aca="false">IF(OR(D7="",C7=""),"",IF(D7=0,IF(C7=0,0,1),(C7-D7)/ABS(D7)))</f>
        <v/>
      </c>
      <c r="F7" s="22" t="str">
        <f aca="false">IF(E7="","",IF(ABS(E7)&lt;=Summary!$B$4,1,0))</f>
        <v/>
      </c>
      <c r="G7" s="19" t="n">
        <f aca="false">4058003000/Summary!$B$3</f>
        <v>4058003</v>
      </c>
      <c r="H7" s="20"/>
      <c r="I7" s="21" t="str">
        <f aca="false">IF(OR(H7="",G7=""),"",IF(H7=0,IF(G7=0,0,1),(G7-H7)/ABS(H7)))</f>
        <v/>
      </c>
      <c r="J7" s="22" t="str">
        <f aca="false">IF(I7="","",IF(ABS(I7)&lt;=Summary!$B$4,1,0))</f>
        <v/>
      </c>
      <c r="K7" s="23"/>
      <c r="L7" s="18" t="s">
        <v>78</v>
      </c>
      <c r="M7" s="24" t="s">
        <v>37</v>
      </c>
      <c r="N7" s="18"/>
      <c r="O7" s="14" t="s">
        <v>79</v>
      </c>
    </row>
    <row r="8" customFormat="false" ht="15" hidden="false" customHeight="false" outlineLevel="0" collapsed="false">
      <c r="A8" s="17" t="s">
        <v>80</v>
      </c>
      <c r="B8" s="18" t="s">
        <v>80</v>
      </c>
      <c r="C8" s="19" t="n">
        <f aca="false">17285268000/Summary!$B$3</f>
        <v>17285268</v>
      </c>
      <c r="D8" s="20"/>
      <c r="E8" s="21" t="str">
        <f aca="false">IF(OR(D8="",C8=""),"",IF(D8=0,IF(C8=0,0,1),(C8-D8)/ABS(D8)))</f>
        <v/>
      </c>
      <c r="F8" s="22" t="str">
        <f aca="false">IF(E8="","",IF(ABS(E8)&lt;=Summary!$B$4,1,0))</f>
        <v/>
      </c>
      <c r="G8" s="19" t="n">
        <f aca="false">17480103000/Summary!$B$3</f>
        <v>17480103</v>
      </c>
      <c r="H8" s="20"/>
      <c r="I8" s="21" t="str">
        <f aca="false">IF(OR(H8="",G8=""),"",IF(H8=0,IF(G8=0,0,1),(G8-H8)/ABS(H8)))</f>
        <v/>
      </c>
      <c r="J8" s="22" t="str">
        <f aca="false">IF(I8="","",IF(ABS(I8)&lt;=Summary!$B$4,1,0))</f>
        <v/>
      </c>
      <c r="K8" s="23"/>
      <c r="L8" s="18" t="s">
        <v>81</v>
      </c>
      <c r="M8" s="24" t="s">
        <v>37</v>
      </c>
      <c r="N8" s="18"/>
      <c r="O8" s="14" t="s">
        <v>82</v>
      </c>
    </row>
    <row r="9" customFormat="false" ht="15" hidden="false" customHeight="false" outlineLevel="0" collapsed="false">
      <c r="A9" s="17" t="s">
        <v>83</v>
      </c>
      <c r="B9" s="18" t="s">
        <v>84</v>
      </c>
      <c r="C9" s="19" t="n">
        <f aca="false">0/Summary!$B$3</f>
        <v>0</v>
      </c>
      <c r="D9" s="20"/>
      <c r="E9" s="21" t="str">
        <f aca="false">IF(OR(D9="",C9=""),"",IF(D9=0,IF(C9=0,0,1),(C9-D9)/ABS(D9)))</f>
        <v/>
      </c>
      <c r="F9" s="22" t="str">
        <f aca="false">IF(E9="","",IF(ABS(E9)&lt;=Summary!$B$4,1,0))</f>
        <v/>
      </c>
      <c r="G9" s="19" t="n">
        <f aca="false">0/Summary!$B$3</f>
        <v>0</v>
      </c>
      <c r="H9" s="20"/>
      <c r="I9" s="21" t="str">
        <f aca="false">IF(OR(H9="",G9=""),"",IF(H9=0,IF(G9=0,0,1),(G9-H9)/ABS(H9)))</f>
        <v/>
      </c>
      <c r="J9" s="22" t="str">
        <f aca="false">IF(I9="","",IF(ABS(I9)&lt;=Summary!$B$4,1,0))</f>
        <v/>
      </c>
      <c r="K9" s="23"/>
      <c r="L9" s="18" t="s">
        <v>85</v>
      </c>
      <c r="M9" s="25"/>
      <c r="N9" s="18" t="s">
        <v>86</v>
      </c>
      <c r="O9" s="14" t="s">
        <v>87</v>
      </c>
    </row>
    <row r="10" customFormat="false" ht="15" hidden="false" customHeight="false" outlineLevel="0" collapsed="false">
      <c r="A10" s="17" t="s">
        <v>88</v>
      </c>
      <c r="B10" s="18" t="s">
        <v>89</v>
      </c>
      <c r="C10" s="19" t="n">
        <f aca="false">0/Summary!$B$3</f>
        <v>0</v>
      </c>
      <c r="D10" s="20"/>
      <c r="E10" s="21" t="str">
        <f aca="false">IF(OR(D10="",C10=""),"",IF(D10=0,IF(C10=0,0,1),(C10-D10)/ABS(D10)))</f>
        <v/>
      </c>
      <c r="F10" s="22" t="str">
        <f aca="false">IF(E10="","",IF(ABS(E10)&lt;=Summary!$B$4,1,0))</f>
        <v/>
      </c>
      <c r="G10" s="19" t="n">
        <f aca="false">0/Summary!$B$3</f>
        <v>0</v>
      </c>
      <c r="H10" s="20"/>
      <c r="I10" s="21" t="str">
        <f aca="false">IF(OR(H10="",G10=""),"",IF(H10=0,IF(G10=0,0,1),(G10-H10)/ABS(H10)))</f>
        <v/>
      </c>
      <c r="J10" s="22" t="str">
        <f aca="false">IF(I10="","",IF(ABS(I10)&lt;=Summary!$B$4,1,0))</f>
        <v/>
      </c>
      <c r="K10" s="23"/>
      <c r="L10" s="18" t="s">
        <v>85</v>
      </c>
      <c r="M10" s="25"/>
      <c r="N10" s="18" t="s">
        <v>86</v>
      </c>
      <c r="O10" s="14" t="s">
        <v>90</v>
      </c>
    </row>
    <row r="11" customFormat="false" ht="15" hidden="false" customHeight="false" outlineLevel="0" collapsed="false">
      <c r="A11" s="17" t="s">
        <v>91</v>
      </c>
      <c r="B11" s="18" t="s">
        <v>91</v>
      </c>
      <c r="C11" s="19" t="n">
        <f aca="false">270867000/Summary!$B$3</f>
        <v>270867</v>
      </c>
      <c r="D11" s="20"/>
      <c r="E11" s="21" t="str">
        <f aca="false">IF(OR(D11="",C11=""),"",IF(D11=0,IF(C11=0,0,1),(C11-D11)/ABS(D11)))</f>
        <v/>
      </c>
      <c r="F11" s="22" t="str">
        <f aca="false">IF(E11="","",IF(ABS(E11)&lt;=Summary!$B$4,1,0))</f>
        <v/>
      </c>
      <c r="G11" s="19" t="n">
        <f aca="false">109201000/Summary!$B$3</f>
        <v>109201</v>
      </c>
      <c r="H11" s="20"/>
      <c r="I11" s="21" t="str">
        <f aca="false">IF(OR(H11="",G11=""),"",IF(H11=0,IF(G11=0,0,1),(G11-H11)/ABS(H11)))</f>
        <v/>
      </c>
      <c r="J11" s="22" t="str">
        <f aca="false">IF(I11="","",IF(ABS(I11)&lt;=Summary!$B$4,1,0))</f>
        <v/>
      </c>
      <c r="K11" s="23"/>
      <c r="L11" s="18" t="s">
        <v>92</v>
      </c>
      <c r="M11" s="24" t="s">
        <v>37</v>
      </c>
      <c r="N11" s="18"/>
      <c r="O11" s="14" t="s">
        <v>93</v>
      </c>
    </row>
    <row r="12" customFormat="false" ht="15" hidden="false" customHeight="false" outlineLevel="0" collapsed="false">
      <c r="A12" s="17" t="s">
        <v>94</v>
      </c>
      <c r="B12" s="18" t="s">
        <v>95</v>
      </c>
      <c r="C12" s="19" t="n">
        <f aca="false">2973410000/Summary!$B$3</f>
        <v>2973410</v>
      </c>
      <c r="D12" s="20"/>
      <c r="E12" s="21" t="str">
        <f aca="false">IF(OR(D12="",C12=""),"",IF(D12=0,IF(C12=0,0,1),(C12-D12)/ABS(D12)))</f>
        <v/>
      </c>
      <c r="F12" s="22" t="str">
        <f aca="false">IF(E12="","",IF(ABS(E12)&lt;=Summary!$B$4,1,0))</f>
        <v/>
      </c>
      <c r="G12" s="19" t="n">
        <f aca="false">3141634000/Summary!$B$3</f>
        <v>3141634</v>
      </c>
      <c r="H12" s="20"/>
      <c r="I12" s="21" t="str">
        <f aca="false">IF(OR(H12="",G12=""),"",IF(H12=0,IF(G12=0,0,1),(G12-H12)/ABS(H12)))</f>
        <v/>
      </c>
      <c r="J12" s="22" t="str">
        <f aca="false">IF(I12="","",IF(ABS(I12)&lt;=Summary!$B$4,1,0))</f>
        <v/>
      </c>
      <c r="K12" s="23"/>
      <c r="L12" s="18" t="s">
        <v>96</v>
      </c>
      <c r="M12" s="24" t="s">
        <v>37</v>
      </c>
      <c r="N12" s="18"/>
      <c r="O12" s="14" t="s">
        <v>97</v>
      </c>
    </row>
    <row r="13" customFormat="false" ht="15" hidden="false" customHeight="false" outlineLevel="0" collapsed="false">
      <c r="A13" s="17" t="s">
        <v>98</v>
      </c>
      <c r="B13" s="18" t="s">
        <v>99</v>
      </c>
      <c r="C13" s="19" t="n">
        <f aca="false">9175903000/Summary!$B$3</f>
        <v>9175903</v>
      </c>
      <c r="D13" s="20"/>
      <c r="E13" s="21" t="str">
        <f aca="false">IF(OR(D13="",C13=""),"",IF(D13=0,IF(C13=0,0,1),(C13-D13)/ABS(D13)))</f>
        <v/>
      </c>
      <c r="F13" s="22" t="str">
        <f aca="false">IF(E13="","",IF(ABS(E13)&lt;=Summary!$B$4,1,0))</f>
        <v/>
      </c>
      <c r="G13" s="19" t="n">
        <f aca="false">10163988000/Summary!$B$3</f>
        <v>10163988</v>
      </c>
      <c r="H13" s="20"/>
      <c r="I13" s="21" t="str">
        <f aca="false">IF(OR(H13="",G13=""),"",IF(H13=0,IF(G13=0,0,1),(G13-H13)/ABS(H13)))</f>
        <v/>
      </c>
      <c r="J13" s="22" t="str">
        <f aca="false">IF(I13="","",IF(ABS(I13)&lt;=Summary!$B$4,1,0))</f>
        <v/>
      </c>
      <c r="K13" s="23"/>
      <c r="L13" s="18" t="s">
        <v>100</v>
      </c>
      <c r="M13" s="24" t="s">
        <v>37</v>
      </c>
      <c r="N13" s="18"/>
      <c r="O13" s="14" t="s">
        <v>101</v>
      </c>
    </row>
    <row r="14" customFormat="false" ht="15" hidden="false" customHeight="false" outlineLevel="0" collapsed="false">
      <c r="A14" s="17" t="s">
        <v>102</v>
      </c>
      <c r="B14" s="18" t="s">
        <v>103</v>
      </c>
      <c r="C14" s="19" t="n">
        <f aca="false">121122000/Summary!$B$3</f>
        <v>121122</v>
      </c>
      <c r="D14" s="20"/>
      <c r="E14" s="21" t="str">
        <f aca="false">IF(OR(D14="",C14=""),"",IF(D14=0,IF(C14=0,0,1),(C14-D14)/ABS(D14)))</f>
        <v/>
      </c>
      <c r="F14" s="22" t="str">
        <f aca="false">IF(E14="","",IF(ABS(E14)&lt;=Summary!$B$4,1,0))</f>
        <v/>
      </c>
      <c r="G14" s="19" t="n">
        <f aca="false">-651082000/Summary!$B$3</f>
        <v>-651082</v>
      </c>
      <c r="H14" s="20"/>
      <c r="I14" s="21" t="str">
        <f aca="false">IF(OR(H14="",G14=""),"",IF(H14=0,IF(G14=0,0,1),(G14-H14)/ABS(H14)))</f>
        <v/>
      </c>
      <c r="J14" s="22" t="str">
        <f aca="false">IF(I14="","",IF(ABS(I14)&lt;=Summary!$B$4,1,0))</f>
        <v/>
      </c>
      <c r="K14" s="23"/>
      <c r="L14" s="18" t="s">
        <v>104</v>
      </c>
      <c r="M14" s="24" t="s">
        <v>37</v>
      </c>
      <c r="N14" s="18"/>
      <c r="O14" s="14" t="s">
        <v>105</v>
      </c>
    </row>
  </sheetData>
  <mergeCells count="2">
    <mergeCell ref="C4:F4"/>
    <mergeCell ref="G4:J4"/>
  </mergeCells>
  <conditionalFormatting sqref="E6:F6">
    <cfRule type="expression" priority="2" aboveAverage="0" equalAverage="0" bottom="0" percent="0" rank="0" text="" dxfId="0">
      <formula>AND($E6&lt;&gt;"",ABS($E6)&gt;Summary!$B$4)</formula>
    </cfRule>
  </conditionalFormatting>
  <conditionalFormatting sqref="I6:J6">
    <cfRule type="expression" priority="3" aboveAverage="0" equalAverage="0" bottom="0" percent="0" rank="0" text="" dxfId="0">
      <formula>AND($I6&lt;&gt;"",ABS($I6)&gt;Summary!$B$4)</formula>
    </cfRule>
  </conditionalFormatting>
  <conditionalFormatting sqref="E7:F7">
    <cfRule type="expression" priority="4" aboveAverage="0" equalAverage="0" bottom="0" percent="0" rank="0" text="" dxfId="0">
      <formula>AND($E7&lt;&gt;"",ABS($E7)&gt;Summary!$B$4)</formula>
    </cfRule>
  </conditionalFormatting>
  <conditionalFormatting sqref="I7:J7">
    <cfRule type="expression" priority="5" aboveAverage="0" equalAverage="0" bottom="0" percent="0" rank="0" text="" dxfId="0">
      <formula>AND($I7&lt;&gt;"",ABS($I7)&gt;Summary!$B$4)</formula>
    </cfRule>
  </conditionalFormatting>
  <conditionalFormatting sqref="E8:F8">
    <cfRule type="expression" priority="6" aboveAverage="0" equalAverage="0" bottom="0" percent="0" rank="0" text="" dxfId="0">
      <formula>AND($E8&lt;&gt;"",ABS($E8)&gt;Summary!$B$4)</formula>
    </cfRule>
  </conditionalFormatting>
  <conditionalFormatting sqref="I8:J8">
    <cfRule type="expression" priority="7" aboveAverage="0" equalAverage="0" bottom="0" percent="0" rank="0" text="" dxfId="0">
      <formula>AND($I8&lt;&gt;"",ABS($I8)&gt;Summary!$B$4)</formula>
    </cfRule>
  </conditionalFormatting>
  <conditionalFormatting sqref="E9:F9">
    <cfRule type="expression" priority="8" aboveAverage="0" equalAverage="0" bottom="0" percent="0" rank="0" text="" dxfId="0">
      <formula>AND($E9&lt;&gt;"",ABS($E9)&gt;Summary!$B$4)</formula>
    </cfRule>
  </conditionalFormatting>
  <conditionalFormatting sqref="I9:J9">
    <cfRule type="expression" priority="9" aboveAverage="0" equalAverage="0" bottom="0" percent="0" rank="0" text="" dxfId="0">
      <formula>AND($I9&lt;&gt;"",ABS($I9)&gt;Summary!$B$4)</formula>
    </cfRule>
  </conditionalFormatting>
  <conditionalFormatting sqref="E10:F10">
    <cfRule type="expression" priority="10" aboveAverage="0" equalAverage="0" bottom="0" percent="0" rank="0" text="" dxfId="0">
      <formula>AND($E10&lt;&gt;"",ABS($E10)&gt;Summary!$B$4)</formula>
    </cfRule>
  </conditionalFormatting>
  <conditionalFormatting sqref="I10:J10">
    <cfRule type="expression" priority="11" aboveAverage="0" equalAverage="0" bottom="0" percent="0" rank="0" text="" dxfId="0">
      <formula>AND($I10&lt;&gt;"",ABS($I10)&gt;Summary!$B$4)</formula>
    </cfRule>
  </conditionalFormatting>
  <conditionalFormatting sqref="E11:F11">
    <cfRule type="expression" priority="12" aboveAverage="0" equalAverage="0" bottom="0" percent="0" rank="0" text="" dxfId="0">
      <formula>AND($E11&lt;&gt;"",ABS($E11)&gt;Summary!$B$4)</formula>
    </cfRule>
  </conditionalFormatting>
  <conditionalFormatting sqref="I11:J11">
    <cfRule type="expression" priority="13" aboveAverage="0" equalAverage="0" bottom="0" percent="0" rank="0" text="" dxfId="0">
      <formula>AND($I11&lt;&gt;"",ABS($I11)&gt;Summary!$B$4)</formula>
    </cfRule>
  </conditionalFormatting>
  <conditionalFormatting sqref="E12:F12">
    <cfRule type="expression" priority="14" aboveAverage="0" equalAverage="0" bottom="0" percent="0" rank="0" text="" dxfId="0">
      <formula>AND($E12&lt;&gt;"",ABS($E12)&gt;Summary!$B$4)</formula>
    </cfRule>
  </conditionalFormatting>
  <conditionalFormatting sqref="I12:J12">
    <cfRule type="expression" priority="15" aboveAverage="0" equalAverage="0" bottom="0" percent="0" rank="0" text="" dxfId="0">
      <formula>AND($I12&lt;&gt;"",ABS($I12)&gt;Summary!$B$4)</formula>
    </cfRule>
  </conditionalFormatting>
  <conditionalFormatting sqref="E13:F13">
    <cfRule type="expression" priority="16" aboveAverage="0" equalAverage="0" bottom="0" percent="0" rank="0" text="" dxfId="0">
      <formula>AND($E13&lt;&gt;"",ABS($E13)&gt;Summary!$B$4)</formula>
    </cfRule>
  </conditionalFormatting>
  <conditionalFormatting sqref="I13:J13">
    <cfRule type="expression" priority="17" aboveAverage="0" equalAverage="0" bottom="0" percent="0" rank="0" text="" dxfId="0">
      <formula>AND($I13&lt;&gt;"",ABS($I13)&gt;Summary!$B$4)</formula>
    </cfRule>
  </conditionalFormatting>
  <conditionalFormatting sqref="E14:F14">
    <cfRule type="expression" priority="18" aboveAverage="0" equalAverage="0" bottom="0" percent="0" rank="0" text="" dxfId="0">
      <formula>AND($E14&lt;&gt;"",ABS($E14)&gt;Summary!$B$4)</formula>
    </cfRule>
  </conditionalFormatting>
  <conditionalFormatting sqref="I14:J14">
    <cfRule type="expression" priority="19" aboveAverage="0" equalAverage="0" bottom="0" percent="0" rank="0" text="" dxfId="0">
      <formula>AND($I14&lt;&gt;"",ABS($I14)&gt;Summary!$B$4)</formula>
    </cfRule>
  </conditionalFormatting>
  <dataValidations count="1">
    <dataValidation allowBlank="true" error="Type a number, as printed in the 10-K" errorStyle="stop" errorTitle="Number expected" operator="between" showDropDown="false" showErrorMessage="false" showInputMessage="false" sqref="D6:D14 H6:H14" type="decimal">
      <formula1>0</formula1>
      <formula2>0</formula2>
    </dataValidation>
  </dataValidations>
  <hyperlinks>
    <hyperlink ref="M6" r:id="rId2" display="10-K filed 2026-02-11"/>
    <hyperlink ref="M7" r:id="rId3" display="10-K filed 2026-02-11"/>
    <hyperlink ref="M8" r:id="rId4" display="10-K filed 2026-02-11"/>
    <hyperlink ref="M11" r:id="rId5" display="10-K filed 2026-02-11"/>
    <hyperlink ref="M12" r:id="rId6" display="10-K filed 2026-02-11"/>
    <hyperlink ref="M13" r:id="rId7" display="10-K filed 2026-02-11"/>
    <hyperlink ref="M14" r:id="rId8" display="10-K filed 2026-02-1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9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4" min="3" style="0" width="13"/>
    <col collapsed="false" customWidth="true" hidden="false" outlineLevel="0" max="5" min="5" style="0" width="9"/>
    <col collapsed="false" customWidth="true" hidden="false" outlineLevel="0" max="6" min="6" style="0" width="5"/>
    <col collapsed="false" customWidth="true" hidden="false" outlineLevel="0" max="8" min="7" style="0" width="13"/>
    <col collapsed="false" customWidth="true" hidden="false" outlineLevel="0" max="9" min="9" style="0" width="9"/>
    <col collapsed="false" customWidth="true" hidden="false" outlineLevel="0" max="10" min="10" style="0" width="5"/>
    <col collapsed="false" customWidth="true" hidden="false" outlineLevel="0" max="11" min="11" style="0" width="26"/>
    <col collapsed="false" customWidth="true" hidden="false" outlineLevel="0" max="12" min="12" style="0" width="42"/>
    <col collapsed="false" customWidth="true" hidden="false" outlineLevel="0" max="13" min="13" style="0" width="20"/>
    <col collapsed="false" customWidth="true" hidden="false" outlineLevel="0" max="14" min="14" style="0" width="50"/>
    <col collapsed="false" customWidth="true" hidden="true" outlineLevel="0" max="15" min="15" style="0" width="22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14" t="s">
        <v>20</v>
      </c>
    </row>
    <row r="4" customFormat="false" ht="15" hidden="false" customHeight="true" outlineLevel="0" collapsed="false">
      <c r="C4" s="15" t="s">
        <v>21</v>
      </c>
      <c r="D4" s="15"/>
      <c r="E4" s="15"/>
      <c r="F4" s="15"/>
      <c r="G4" s="15" t="s">
        <v>22</v>
      </c>
      <c r="H4" s="15"/>
      <c r="I4" s="15"/>
      <c r="J4" s="15"/>
    </row>
    <row r="5" customFormat="false" ht="15" hidden="false" customHeight="false" outlineLevel="0" collapsed="false">
      <c r="A5" s="16" t="s">
        <v>23</v>
      </c>
      <c r="B5" s="16" t="s">
        <v>24</v>
      </c>
      <c r="C5" s="16" t="s">
        <v>25</v>
      </c>
      <c r="D5" s="16" t="s">
        <v>26</v>
      </c>
      <c r="E5" s="16" t="s">
        <v>27</v>
      </c>
      <c r="F5" s="16" t="s">
        <v>28</v>
      </c>
      <c r="G5" s="16" t="s">
        <v>25</v>
      </c>
      <c r="H5" s="16" t="s">
        <v>26</v>
      </c>
      <c r="I5" s="16" t="s">
        <v>27</v>
      </c>
      <c r="J5" s="16" t="s">
        <v>28</v>
      </c>
      <c r="K5" s="16" t="s">
        <v>29</v>
      </c>
      <c r="L5" s="16" t="s">
        <v>30</v>
      </c>
      <c r="M5" s="16" t="s">
        <v>31</v>
      </c>
      <c r="N5" s="16" t="s">
        <v>32</v>
      </c>
      <c r="O5" s="16" t="s">
        <v>33</v>
      </c>
    </row>
    <row r="6" customFormat="false" ht="15" hidden="false" customHeight="false" outlineLevel="0" collapsed="false">
      <c r="A6" s="17" t="s">
        <v>107</v>
      </c>
      <c r="B6" s="18" t="s">
        <v>108</v>
      </c>
      <c r="C6" s="19" t="n">
        <f aca="false">689130000/Summary!$B$3</f>
        <v>689130</v>
      </c>
      <c r="D6" s="20"/>
      <c r="E6" s="21" t="str">
        <f aca="false">IF(OR(D6="",C6=""),"",IF(D6=0,IF(C6=0,0,1),(C6-D6)/ABS(D6)))</f>
        <v/>
      </c>
      <c r="F6" s="22" t="str">
        <f aca="false">IF(E6="","",IF(ABS(E6)&lt;=Summary!$B$4,1,0))</f>
        <v/>
      </c>
      <c r="G6" s="19" t="n">
        <f aca="false">702180000/Summary!$B$3</f>
        <v>702180</v>
      </c>
      <c r="H6" s="20"/>
      <c r="I6" s="21" t="str">
        <f aca="false">IF(OR(H6="",G6=""),"",IF(H6=0,IF(G6=0,0,1),(G6-H6)/ABS(H6)))</f>
        <v/>
      </c>
      <c r="J6" s="22" t="str">
        <f aca="false">IF(I6="","",IF(ABS(I6)&lt;=Summary!$B$4,1,0))</f>
        <v/>
      </c>
      <c r="K6" s="23"/>
      <c r="L6" s="18" t="s">
        <v>109</v>
      </c>
      <c r="M6" s="24" t="s">
        <v>37</v>
      </c>
      <c r="N6" s="18"/>
      <c r="O6" s="14" t="s">
        <v>110</v>
      </c>
    </row>
    <row r="7" customFormat="false" ht="15" hidden="false" customHeight="false" outlineLevel="0" collapsed="false">
      <c r="A7" s="17" t="s">
        <v>111</v>
      </c>
      <c r="B7" s="18" t="s">
        <v>112</v>
      </c>
      <c r="C7" s="19" t="n">
        <f aca="false">2620066000/Summary!$B$3</f>
        <v>2620066</v>
      </c>
      <c r="D7" s="20"/>
      <c r="E7" s="21" t="str">
        <f aca="false">IF(OR(D7="",C7=""),"",IF(D7=0,IF(C7=0,0,1),(C7-D7)/ABS(D7)))</f>
        <v/>
      </c>
      <c r="F7" s="22" t="str">
        <f aca="false">IF(E7="","",IF(ABS(E7)&lt;=Summary!$B$4,1,0))</f>
        <v/>
      </c>
      <c r="G7" s="19" t="n">
        <f aca="false">2601142000/Summary!$B$3</f>
        <v>2601142</v>
      </c>
      <c r="H7" s="20"/>
      <c r="I7" s="21" t="str">
        <f aca="false">IF(OR(H7="",G7=""),"",IF(H7=0,IF(G7=0,0,1),(G7-H7)/ABS(H7)))</f>
        <v/>
      </c>
      <c r="J7" s="22" t="str">
        <f aca="false">IF(I7="","",IF(ABS(I7)&lt;=Summary!$B$4,1,0))</f>
        <v/>
      </c>
      <c r="K7" s="23"/>
      <c r="L7" s="18" t="s">
        <v>113</v>
      </c>
      <c r="M7" s="24" t="s">
        <v>37</v>
      </c>
      <c r="N7" s="18"/>
      <c r="O7" s="14" t="s">
        <v>114</v>
      </c>
    </row>
    <row r="8" customFormat="false" ht="15" hidden="false" customHeight="false" outlineLevel="0" collapsed="false">
      <c r="A8" s="17" t="s">
        <v>115</v>
      </c>
      <c r="B8" s="18" t="s">
        <v>116</v>
      </c>
      <c r="C8" s="19" t="n">
        <f aca="false">216401000/Summary!$B$3</f>
        <v>216401</v>
      </c>
      <c r="D8" s="20"/>
      <c r="E8" s="21" t="str">
        <f aca="false">IF(OR(D8="",C8=""),"",IF(D8=0,IF(C8=0,0,1),(C8-D8)/ABS(D8)))</f>
        <v/>
      </c>
      <c r="F8" s="22" t="str">
        <f aca="false">IF(E8="","",IF(ABS(E8)&lt;=Summary!$B$4,1,0))</f>
        <v/>
      </c>
      <c r="G8" s="19" t="n">
        <f aca="false">185120000/Summary!$B$3</f>
        <v>185120</v>
      </c>
      <c r="H8" s="20"/>
      <c r="I8" s="21" t="str">
        <f aca="false">IF(OR(H8="",G8=""),"",IF(H8=0,IF(G8=0,0,1),(G8-H8)/ABS(H8)))</f>
        <v/>
      </c>
      <c r="J8" s="22" t="str">
        <f aca="false">IF(I8="","",IF(ABS(I8)&lt;=Summary!$B$4,1,0))</f>
        <v/>
      </c>
      <c r="K8" s="23"/>
      <c r="L8" s="18" t="s">
        <v>117</v>
      </c>
      <c r="M8" s="24" t="s">
        <v>37</v>
      </c>
      <c r="N8" s="18" t="s">
        <v>118</v>
      </c>
      <c r="O8" s="14" t="s">
        <v>119</v>
      </c>
    </row>
    <row r="9" customFormat="false" ht="15" hidden="false" customHeight="false" outlineLevel="0" collapsed="false">
      <c r="A9" s="17" t="s">
        <v>120</v>
      </c>
      <c r="B9" s="18" t="s">
        <v>121</v>
      </c>
      <c r="C9" s="19" t="n">
        <f aca="false">270867000/Summary!$B$3</f>
        <v>270867</v>
      </c>
      <c r="D9" s="20"/>
      <c r="E9" s="21" t="str">
        <f aca="false">IF(OR(D9="",C9=""),"",IF(D9=0,IF(C9=0,0,1),(C9-D9)/ABS(D9)))</f>
        <v/>
      </c>
      <c r="F9" s="22" t="str">
        <f aca="false">IF(E9="","",IF(ABS(E9)&lt;=Summary!$B$4,1,0))</f>
        <v/>
      </c>
      <c r="G9" s="19" t="n">
        <f aca="false">109201000/Summary!$B$3</f>
        <v>109201</v>
      </c>
      <c r="H9" s="20"/>
      <c r="I9" s="21" t="str">
        <f aca="false">IF(OR(H9="",G9=""),"",IF(H9=0,IF(G9=0,0,1),(G9-H9)/ABS(H9)))</f>
        <v/>
      </c>
      <c r="J9" s="22" t="str">
        <f aca="false">IF(I9="","",IF(ABS(I9)&lt;=Summary!$B$4,1,0))</f>
        <v/>
      </c>
      <c r="K9" s="23"/>
      <c r="L9" s="18" t="s">
        <v>122</v>
      </c>
      <c r="M9" s="24" t="s">
        <v>37</v>
      </c>
      <c r="N9" s="18"/>
      <c r="O9" s="14" t="s">
        <v>123</v>
      </c>
    </row>
  </sheetData>
  <mergeCells count="2">
    <mergeCell ref="C4:F4"/>
    <mergeCell ref="G4:J4"/>
  </mergeCells>
  <conditionalFormatting sqref="E6:F6">
    <cfRule type="expression" priority="2" aboveAverage="0" equalAverage="0" bottom="0" percent="0" rank="0" text="" dxfId="0">
      <formula>AND($E6&lt;&gt;"",ABS($E6)&gt;Summary!$B$4)</formula>
    </cfRule>
  </conditionalFormatting>
  <conditionalFormatting sqref="I6:J6">
    <cfRule type="expression" priority="3" aboveAverage="0" equalAverage="0" bottom="0" percent="0" rank="0" text="" dxfId="0">
      <formula>AND($I6&lt;&gt;"",ABS($I6)&gt;Summary!$B$4)</formula>
    </cfRule>
  </conditionalFormatting>
  <conditionalFormatting sqref="E7:F7">
    <cfRule type="expression" priority="4" aboveAverage="0" equalAverage="0" bottom="0" percent="0" rank="0" text="" dxfId="0">
      <formula>AND($E7&lt;&gt;"",ABS($E7)&gt;Summary!$B$4)</formula>
    </cfRule>
  </conditionalFormatting>
  <conditionalFormatting sqref="I7:J7">
    <cfRule type="expression" priority="5" aboveAverage="0" equalAverage="0" bottom="0" percent="0" rank="0" text="" dxfId="0">
      <formula>AND($I7&lt;&gt;"",ABS($I7)&gt;Summary!$B$4)</formula>
    </cfRule>
  </conditionalFormatting>
  <conditionalFormatting sqref="E8:F8">
    <cfRule type="expression" priority="6" aboveAverage="0" equalAverage="0" bottom="0" percent="0" rank="0" text="" dxfId="0">
      <formula>AND($E8&lt;&gt;"",ABS($E8)&gt;Summary!$B$4)</formula>
    </cfRule>
  </conditionalFormatting>
  <conditionalFormatting sqref="I8:J8">
    <cfRule type="expression" priority="7" aboveAverage="0" equalAverage="0" bottom="0" percent="0" rank="0" text="" dxfId="0">
      <formula>AND($I8&lt;&gt;"",ABS($I8)&gt;Summary!$B$4)</formula>
    </cfRule>
  </conditionalFormatting>
  <conditionalFormatting sqref="E9:F9">
    <cfRule type="expression" priority="8" aboveAverage="0" equalAverage="0" bottom="0" percent="0" rank="0" text="" dxfId="0">
      <formula>AND($E9&lt;&gt;"",ABS($E9)&gt;Summary!$B$4)</formula>
    </cfRule>
  </conditionalFormatting>
  <conditionalFormatting sqref="I9:J9">
    <cfRule type="expression" priority="9" aboveAverage="0" equalAverage="0" bottom="0" percent="0" rank="0" text="" dxfId="0">
      <formula>AND($I9&lt;&gt;"",ABS($I9)&gt;Summary!$B$4)</formula>
    </cfRule>
  </conditionalFormatting>
  <dataValidations count="1">
    <dataValidation allowBlank="true" error="Type a number, as printed in the 10-K" errorStyle="stop" errorTitle="Number expected" operator="between" showDropDown="false" showErrorMessage="false" showInputMessage="false" sqref="D6:D9 H6:H9" type="decimal">
      <formula1>0</formula1>
      <formula2>0</formula2>
    </dataValidation>
  </dataValidations>
  <hyperlinks>
    <hyperlink ref="M6" r:id="rId2" display="10-K filed 2026-02-11"/>
    <hyperlink ref="M7" r:id="rId3" display="10-K filed 2026-02-11"/>
    <hyperlink ref="M8" r:id="rId4" display="10-K filed 2026-02-11"/>
    <hyperlink ref="M9" r:id="rId5" display="10-K filed 2026-02-1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14" t="s">
        <v>125</v>
      </c>
    </row>
    <row r="3" customFormat="false" ht="15" hidden="false" customHeight="false" outlineLevel="0" collapsed="false">
      <c r="A3" s="12" t="s">
        <v>126</v>
      </c>
      <c r="B3" s="26" t="n">
        <v>0</v>
      </c>
    </row>
    <row r="4" customFormat="false" ht="15" hidden="false" customHeight="true" outlineLevel="0" collapsed="false">
      <c r="B4" s="15" t="s">
        <v>21</v>
      </c>
      <c r="C4" s="15"/>
      <c r="D4" s="15"/>
      <c r="E4" s="15" t="s">
        <v>22</v>
      </c>
      <c r="F4" s="15"/>
      <c r="G4" s="15"/>
    </row>
    <row r="5" customFormat="false" ht="15" hidden="false" customHeight="false" outlineLevel="0" collapsed="false">
      <c r="A5" s="7" t="s">
        <v>127</v>
      </c>
      <c r="B5" s="27" t="s">
        <v>128</v>
      </c>
      <c r="C5" s="27" t="s">
        <v>25</v>
      </c>
      <c r="D5" s="27" t="s">
        <v>27</v>
      </c>
      <c r="E5" s="27" t="s">
        <v>128</v>
      </c>
      <c r="F5" s="27" t="s">
        <v>25</v>
      </c>
      <c r="G5" s="27" t="s">
        <v>27</v>
      </c>
    </row>
    <row r="6" customFormat="false" ht="15" hidden="false" customHeight="false" outlineLevel="0" collapsed="false">
      <c r="A6" s="28" t="s">
        <v>129</v>
      </c>
      <c r="B6" s="29" t="str">
        <f aca="false">IF(OR('Income statement'!$D$7="",'Cash flow'!$D$7=""),"",'Income statement'!$D$7+'Cash flow'!$D$7)</f>
        <v/>
      </c>
      <c r="C6" s="30" t="n">
        <f aca="false">2806879000/Summary!$B$3</f>
        <v>2806879</v>
      </c>
      <c r="D6" s="31" t="str">
        <f aca="false">IF(OR(B6="",C6="",B6="n.m."),"",IF(B6=0,"",(C6-B6)/ABS(B6)))</f>
        <v/>
      </c>
      <c r="E6" s="29" t="str">
        <f aca="false">IF(OR('Income statement'!$H$7="",'Cash flow'!$H$7=""),"",'Income statement'!$H$7+'Cash flow'!$H$7)</f>
        <v/>
      </c>
      <c r="F6" s="30" t="n">
        <f aca="false">2751867000/Summary!$B$3</f>
        <v>2751867</v>
      </c>
      <c r="G6" s="31" t="str">
        <f aca="false">IF(OR(E6="",F6="",E6="n.m."),"",IF(E6=0,"",(F6-E6)/ABS(E6)))</f>
        <v/>
      </c>
    </row>
    <row r="7" customFormat="false" ht="15" hidden="false" customHeight="false" outlineLevel="0" collapsed="false">
      <c r="A7" s="28" t="s">
        <v>130</v>
      </c>
      <c r="B7" s="29" t="str">
        <f aca="false">IF(OR(B6="",Notes!$D$6=""),"",B6+Notes!$D$6)</f>
        <v/>
      </c>
      <c r="C7" s="30" t="n">
        <f aca="false">3496009000/Summary!$B$3</f>
        <v>3496009</v>
      </c>
      <c r="D7" s="31" t="str">
        <f aca="false">IF(OR(B7="",C7="",B7="n.m."),"",IF(B7=0,"",(C7-B7)/ABS(B7)))</f>
        <v/>
      </c>
      <c r="E7" s="29" t="str">
        <f aca="false">IF(OR(E6="",Notes!$H$6=""),"",E6+Notes!$H$6)</f>
        <v/>
      </c>
      <c r="F7" s="30" t="n">
        <f aca="false">3454047000/Summary!$B$3</f>
        <v>3454047</v>
      </c>
      <c r="G7" s="31" t="str">
        <f aca="false">IF(OR(E7="",F7="",E7="n.m."),"",IF(E7=0,"",(F7-E7)/ABS(E7)))</f>
        <v/>
      </c>
    </row>
    <row r="8" customFormat="false" ht="15" hidden="false" customHeight="false" outlineLevel="0" collapsed="false">
      <c r="A8" s="28" t="s">
        <v>131</v>
      </c>
      <c r="B8" s="29" t="str">
        <f aca="false">IF(OR('Balance sheet'!$D$9="",'Balance sheet'!$D$10="",'Balance sheet'!$D$11="",'Balance sheet'!$D$13="",Notes!$D$8=""),"",'Balance sheet'!$D$9+'Balance sheet'!$D$10+'Balance sheet'!$D$11+'Balance sheet'!$D$13+$B$3*Notes!$D$8)</f>
        <v/>
      </c>
      <c r="C8" s="30" t="n">
        <f aca="false">9446770000/Summary!$B$3</f>
        <v>9446770</v>
      </c>
      <c r="D8" s="31" t="str">
        <f aca="false">IF(OR(B8="",C8="",B8="n.m."),"",IF(B8=0,"",(C8-B8)/ABS(B8)))</f>
        <v/>
      </c>
      <c r="E8" s="29" t="str">
        <f aca="false">IF(OR('Balance sheet'!$H$9="",'Balance sheet'!$H$10="",'Balance sheet'!$H$11="",'Balance sheet'!$H$13="",Notes!$H$8=""),"",'Balance sheet'!$H$9+'Balance sheet'!$H$10+'Balance sheet'!$H$11+'Balance sheet'!$H$13+$B$3*Notes!$H$8)</f>
        <v/>
      </c>
      <c r="F8" s="30" t="n">
        <f aca="false">10273189000/Summary!$B$3</f>
        <v>10273189</v>
      </c>
      <c r="G8" s="31" t="str">
        <f aca="false">IF(OR(E8="",F8="",E8="n.m."),"",IF(E8=0,"",(F8-E8)/ABS(E8)))</f>
        <v/>
      </c>
    </row>
    <row r="9" customFormat="false" ht="15" hidden="false" customHeight="false" outlineLevel="0" collapsed="false">
      <c r="A9" s="28" t="s">
        <v>132</v>
      </c>
      <c r="B9" s="29" t="str">
        <f aca="false">IF(OR(B8="",'Balance sheet'!$D$6=""),"",B8-'Balance sheet'!$D$6)</f>
        <v/>
      </c>
      <c r="C9" s="30" t="n">
        <f aca="false">8651837000/Summary!$B$3</f>
        <v>8651837</v>
      </c>
      <c r="D9" s="31" t="str">
        <f aca="false">IF(OR(B9="",C9="",B9="n.m."),"",IF(B9=0,"",(C9-B9)/ABS(B9)))</f>
        <v/>
      </c>
      <c r="E9" s="29" t="str">
        <f aca="false">IF(OR(E8="",'Balance sheet'!$H$6=""),"",E8-'Balance sheet'!$H$6)</f>
        <v/>
      </c>
      <c r="F9" s="30" t="n">
        <f aca="false">9596751000/Summary!$B$3</f>
        <v>9596751</v>
      </c>
      <c r="G9" s="31" t="str">
        <f aca="false">IF(OR(E9="",F9="",E9="n.m."),"",IF(E9=0,"",(F9-E9)/ABS(E9)))</f>
        <v/>
      </c>
    </row>
    <row r="11" customFormat="false" ht="15" hidden="false" customHeight="false" outlineLevel="0" collapsed="false">
      <c r="A11" s="12" t="s">
        <v>133</v>
      </c>
      <c r="B11" s="32" t="str">
        <f aca="false">IF(OR(B8="",B6=""),"",IF(B6&lt;=0,"n.m.",(B8)/(B6)))</f>
        <v/>
      </c>
      <c r="C11" s="33" t="n">
        <v>3.36557792480545</v>
      </c>
      <c r="D11" s="31" t="str">
        <f aca="false">IF(OR(B11="",C11="",B11="n.m."),"",IF(B11=0,"",(C11-B11)/ABS(B11)))</f>
        <v/>
      </c>
      <c r="E11" s="32" t="str">
        <f aca="false">IF(OR(E8="",E6=""),"",IF(E6&lt;=0,"n.m.",(E8)/(E6)))</f>
        <v/>
      </c>
      <c r="F11" s="33" t="n">
        <v>3.73317060744578</v>
      </c>
      <c r="G11" s="31" t="str">
        <f aca="false">IF(OR(E11="",F11="",E11="n.m."),"",IF(E11=0,"",(F11-E11)/ABS(E11)))</f>
        <v/>
      </c>
    </row>
    <row r="12" customFormat="false" ht="15" hidden="false" customHeight="false" outlineLevel="0" collapsed="false">
      <c r="A12" s="12" t="s">
        <v>134</v>
      </c>
      <c r="B12" s="32" t="str">
        <f aca="false">IF(OR(B9="",B6=""),"",IF(B6&lt;=0,"n.m.",(B9)/(B6)))</f>
        <v/>
      </c>
      <c r="C12" s="33" t="n">
        <v>3.08236906542819</v>
      </c>
      <c r="D12" s="31" t="str">
        <f aca="false">IF(OR(B12="",C12="",B12="n.m."),"",IF(B12=0,"",(C12-B12)/ABS(B12)))</f>
        <v/>
      </c>
      <c r="E12" s="32" t="str">
        <f aca="false">IF(OR(E9="",E6=""),"",IF(E6&lt;=0,"n.m.",(E9)/(E6)))</f>
        <v/>
      </c>
      <c r="F12" s="33" t="n">
        <v>3.48736003593197</v>
      </c>
      <c r="G12" s="31" t="str">
        <f aca="false">IF(OR(E12="",F12="",E12="n.m."),"",IF(E12=0,"",(F12-E12)/ABS(E12)))</f>
        <v/>
      </c>
    </row>
    <row r="13" customFormat="false" ht="15" hidden="false" customHeight="false" outlineLevel="0" collapsed="false">
      <c r="A13" s="12" t="s">
        <v>135</v>
      </c>
      <c r="B13" s="32" t="str">
        <f aca="false">IF(OR(B8="",B7="",Notes!$D$7=""),"",IF(B7&lt;=0,"n.m.",(B8+Notes!$D$7)/(B7)))</f>
        <v/>
      </c>
      <c r="C13" s="33" t="n">
        <v>3.45160324244017</v>
      </c>
      <c r="D13" s="31" t="str">
        <f aca="false">IF(OR(B13="",C13="",B13="n.m."),"",IF(B13=0,"",(C13-B13)/ABS(B13)))</f>
        <v/>
      </c>
      <c r="E13" s="32" t="str">
        <f aca="false">IF(OR(E8="",E7="",Notes!$H$7=""),"",IF(E7&lt;=0,"n.m.",(E8+Notes!$H$7)/(E7)))</f>
        <v/>
      </c>
      <c r="F13" s="33" t="n">
        <v>3.72731783904504</v>
      </c>
      <c r="G13" s="31" t="str">
        <f aca="false">IF(OR(E13="",F13="",E13="n.m."),"",IF(E13=0,"",(F13-E13)/ABS(E13)))</f>
        <v/>
      </c>
    </row>
    <row r="14" customFormat="false" ht="15" hidden="false" customHeight="false" outlineLevel="0" collapsed="false">
      <c r="A14" s="12" t="s">
        <v>136</v>
      </c>
      <c r="B14" s="32" t="str">
        <f aca="false">IF(OR(B6="",'Income statement'!$D$8=""),"",IF('Income statement'!$D$8&lt;=0,"n.m.",(B6)/('Income statement'!$D$8)))</f>
        <v/>
      </c>
      <c r="C14" s="33" t="n">
        <v>6.44958559568753</v>
      </c>
      <c r="D14" s="31" t="str">
        <f aca="false">IF(OR(B14="",C14="",B14="n.m."),"",IF(B14=0,"",(C14-B14)/ABS(B14)))</f>
        <v/>
      </c>
      <c r="E14" s="32" t="str">
        <f aca="false">IF(OR(E6="",'Income statement'!$H$8=""),"",IF('Income statement'!$H$8&lt;=0,"n.m.",(E6)/('Income statement'!$H$8)))</f>
        <v/>
      </c>
      <c r="F14" s="33" t="n">
        <v>5.0967673228084</v>
      </c>
      <c r="G14" s="31" t="str">
        <f aca="false">IF(OR(E14="",F14="",E14="n.m."),"",IF(E14=0,"",(F14-E14)/ABS(E14)))</f>
        <v/>
      </c>
    </row>
    <row r="15" customFormat="false" ht="15" hidden="false" customHeight="false" outlineLevel="0" collapsed="false">
      <c r="A15" s="12" t="s">
        <v>137</v>
      </c>
      <c r="B15" s="32" t="str">
        <f aca="false">IF(OR(B6="",'Cash flow'!$D$8="",'Cash flow'!$D$9="",'Income statement'!$D$8="",Notes!$D$9=""),"",IF('Income statement'!$D$8+Notes!$D$9&lt;=0,"n.m.",(B6-'Cash flow'!$D$8-'Cash flow'!$D$9)/('Income statement'!$D$8+Notes!$D$9)))</f>
        <v/>
      </c>
      <c r="C15" s="33" t="n">
        <v>2.63925106575835</v>
      </c>
      <c r="D15" s="31" t="str">
        <f aca="false">IF(OR(B15="",C15="",B15="n.m."),"",IF(B15=0,"",(C15-B15)/ABS(B15)))</f>
        <v/>
      </c>
      <c r="E15" s="32" t="str">
        <f aca="false">IF(OR(E6="",'Cash flow'!$H$8="",'Cash flow'!$H$9="",'Income statement'!$H$8="",Notes!$H$9=""),"",IF('Income statement'!$H$8+Notes!$H$9&lt;=0,"n.m.",(E6-'Cash flow'!$H$8-'Cash flow'!$H$9)/('Income statement'!$H$8+Notes!$H$9)))</f>
        <v/>
      </c>
      <c r="F15" s="33" t="n">
        <v>3.08001540535336</v>
      </c>
      <c r="G15" s="31" t="str">
        <f aca="false">IF(OR(E15="",F15="",E15="n.m."),"",IF(E15=0,"",(F15-E15)/ABS(E15)))</f>
        <v/>
      </c>
    </row>
    <row r="16" customFormat="false" ht="15" hidden="false" customHeight="false" outlineLevel="0" collapsed="false">
      <c r="A16" s="12" t="s">
        <v>138</v>
      </c>
      <c r="B16" s="32" t="str">
        <f aca="false">IF(OR('Balance sheet'!$D$7="",'Balance sheet'!$D$12=""),"",IF('Balance sheet'!$D$12&lt;=0,"n.m.",('Balance sheet'!$D$7)/('Balance sheet'!$D$12)))</f>
        <v/>
      </c>
      <c r="C16" s="33" t="n">
        <v>1.25985720099145</v>
      </c>
      <c r="D16" s="31" t="str">
        <f aca="false">IF(OR(B16="",C16="",B16="n.m."),"",IF(B16=0,"",(C16-B16)/ABS(B16)))</f>
        <v/>
      </c>
      <c r="E16" s="32" t="str">
        <f aca="false">IF(OR('Balance sheet'!$H$7="",'Balance sheet'!$H$12=""),"",IF('Balance sheet'!$H$12&lt;=0,"n.m.",('Balance sheet'!$H$7)/('Balance sheet'!$H$12)))</f>
        <v/>
      </c>
      <c r="F16" s="33" t="n">
        <v>1.29168547322826</v>
      </c>
      <c r="G16" s="31" t="str">
        <f aca="false">IF(OR(E16="",F16="",E16="n.m."),"",IF(E16=0,"",(F16-E16)/ABS(E16)))</f>
        <v/>
      </c>
    </row>
  </sheetData>
  <mergeCells count="2">
    <mergeCell ref="B4:D4"/>
    <mergeCell ref="E4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2026-10-21T18:42:46Z</dcterms:created>
  <dc:creator>openpyxl</dc:creator>
  <dc:description/>
  <dc:language>en-US</dc:language>
  <cp:lastModifiedBy/>
  <dcterms:modified xsi:type="dcterms:W3CDTF">2026-10-21T18:42:46Z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