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come statement" sheetId="2" state="visible" r:id="rId4"/>
    <sheet name="Balance sheet" sheetId="3" state="visible" r:id="rId5"/>
    <sheet name="Cash flow" sheetId="4" state="visible" r:id="rId6"/>
    <sheet name="Notes" sheetId="5" state="visible" r:id="rId7"/>
    <sheet name="Rati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7" authorId="0">
      <text>
        <r>
          <rPr>
            <sz val="10"/>
            <rFont val="Arial"/>
            <family val="2"/>
          </rPr>
          <t xml:space="preserve">creditmemo:
Tool: 12,260,375,000 dollars.</t>
        </r>
      </text>
    </comment>
    <comment ref="C8" authorId="0">
      <text>
        <r>
          <rPr>
            <sz val="10"/>
            <rFont val="Arial"/>
            <family val="2"/>
          </rPr>
          <t xml:space="preserve">creditmemo:
Tool: 555,175,000 dollars.</t>
        </r>
      </text>
    </comment>
    <comment ref="C9" authorId="0">
      <text>
        <r>
          <rPr>
            <sz val="10"/>
            <rFont val="Arial"/>
            <family val="2"/>
          </rPr>
          <t xml:space="preserve">creditmemo:
Tool: 12,815,550,000 dollars.</t>
        </r>
      </text>
    </comment>
    <comment ref="C11" authorId="0">
      <text>
        <r>
          <rPr>
            <sz val="10"/>
            <rFont val="Arial"/>
            <family val="2"/>
          </rPr>
          <t xml:space="preserve">creditmemo:
Tool: 8,598,521,000 dollars.</t>
        </r>
      </text>
    </comment>
    <comment ref="C12" authorId="0">
      <text>
        <r>
          <rPr>
            <sz val="10"/>
            <rFont val="Arial"/>
            <family val="2"/>
          </rPr>
          <t xml:space="preserve">creditmemo:
Tool: 1,538,341,000 dollars.</t>
        </r>
      </text>
    </comment>
    <comment ref="C13" authorId="0">
      <text>
        <r>
          <rPr>
            <sz val="10"/>
            <rFont val="Arial"/>
            <family val="2"/>
          </rPr>
          <t xml:space="preserve">creditmemo:
Tool: 723,860,000 dollars.</t>
        </r>
      </text>
    </comment>
    <comment ref="C14" authorId="0">
      <text>
        <r>
          <rPr>
            <sz val="10"/>
            <rFont val="Arial"/>
            <family val="2"/>
          </rPr>
          <t xml:space="preserve">creditmemo:
Tool: -26,189,000 dollars.</t>
        </r>
      </text>
    </comment>
    <comment ref="C15" authorId="0">
      <text>
        <r>
          <rPr>
            <sz val="10"/>
            <rFont val="Arial"/>
            <family val="2"/>
          </rPr>
          <t xml:space="preserve">creditmemo:
Tool: 0 dollars.</t>
        </r>
      </text>
    </comment>
    <comment ref="C16" authorId="0">
      <text>
        <r>
          <rPr>
            <sz val="10"/>
            <rFont val="Arial"/>
            <family val="2"/>
          </rPr>
          <t xml:space="preserve">creditmemo:
Tool: -109,466,000 dollars.</t>
        </r>
      </text>
    </comment>
    <comment ref="C17" authorId="0">
      <text>
        <r>
          <rPr>
            <sz val="10"/>
            <rFont val="Arial"/>
            <family val="2"/>
          </rPr>
          <t xml:space="preserve">creditmemo:
Tool: 10,725,067,000 dollars.</t>
        </r>
      </text>
    </comment>
    <comment ref="C18" authorId="0">
      <text>
        <r>
          <rPr>
            <sz val="10"/>
            <rFont val="Arial"/>
            <family val="2"/>
          </rPr>
          <t xml:space="preserve">creditmemo:
Tool: 2,090,483,000 dollars.</t>
        </r>
      </text>
    </comment>
    <comment ref="C19" authorId="0">
      <text>
        <r>
          <rPr>
            <sz val="10"/>
            <rFont val="Arial"/>
            <family val="2"/>
          </rPr>
          <t xml:space="preserve">creditmemo:
Tool: -470,469,000 dollars.</t>
        </r>
      </text>
    </comment>
    <comment ref="C20" authorId="0">
      <text>
        <r>
          <rPr>
            <sz val="10"/>
            <rFont val="Arial"/>
            <family val="2"/>
          </rPr>
          <t xml:space="preserve">creditmemo:
Tool: -19,813,000 dollars.</t>
        </r>
      </text>
    </comment>
    <comment ref="C21" authorId="0">
      <text>
        <r>
          <rPr>
            <sz val="10"/>
            <rFont val="Arial"/>
            <family val="2"/>
          </rPr>
          <t xml:space="preserve">creditmemo:
Tool: -69,808,000 dollars.</t>
        </r>
      </text>
    </comment>
    <comment ref="C22" authorId="0">
      <text>
        <r>
          <rPr>
            <sz val="10"/>
            <rFont val="Arial"/>
            <family val="2"/>
          </rPr>
          <t xml:space="preserve">creditmemo:
Tool: 1,530,393,000 dollars.</t>
        </r>
      </text>
    </comment>
    <comment ref="C23" authorId="0">
      <text>
        <r>
          <rPr>
            <sz val="10"/>
            <rFont val="Arial"/>
            <family val="2"/>
          </rPr>
          <t xml:space="preserve">creditmemo:
Tool: 279,656,000 dollars.</t>
        </r>
      </text>
    </comment>
    <comment ref="C24" authorId="0">
      <text>
        <r>
          <rPr>
            <sz val="10"/>
            <rFont val="Arial"/>
            <family val="2"/>
          </rPr>
          <t xml:space="preserve">creditmemo:
Tool: 1,250,737,000 dollars.</t>
        </r>
      </text>
    </comment>
    <comment ref="C25" authorId="0">
      <text>
        <r>
          <rPr>
            <sz val="10"/>
            <rFont val="Arial"/>
            <family val="2"/>
          </rPr>
          <t xml:space="preserve">creditmemo:
Tool: 0 dollars.</t>
        </r>
      </text>
    </comment>
    <comment ref="C26" authorId="0">
      <text>
        <r>
          <rPr>
            <sz val="10"/>
            <rFont val="Arial"/>
            <family val="2"/>
          </rPr>
          <t xml:space="preserve">creditmemo:
Tool: 1,250,737,000 dollars.</t>
        </r>
      </text>
    </comment>
    <comment ref="C27" authorId="0">
      <text>
        <r>
          <rPr>
            <sz val="10"/>
            <rFont val="Arial"/>
            <family val="2"/>
          </rPr>
          <t xml:space="preserve">creditmemo:
Tool: -314,395,000 dollars.</t>
        </r>
      </text>
    </comment>
    <comment ref="C28" authorId="0">
      <text>
        <r>
          <rPr>
            <sz val="10"/>
            <rFont val="Arial"/>
            <family val="2"/>
          </rPr>
          <t xml:space="preserve">creditmemo:
Tool: 936,342,000 dollars.</t>
        </r>
      </text>
    </comment>
    <comment ref="C32" authorId="0">
      <text>
        <r>
          <rPr>
            <sz val="10"/>
            <rFont val="Arial"/>
            <family val="2"/>
          </rPr>
          <t xml:space="preserve">creditmemo:
Tool: 936,342,000 dollars.</t>
        </r>
      </text>
    </comment>
    <comment ref="C33" authorId="0">
      <text>
        <r>
          <rPr>
            <sz val="10"/>
            <rFont val="Arial"/>
            <family val="2"/>
          </rPr>
          <t xml:space="preserve">creditmemo:
Tool: 0 dollars.</t>
        </r>
      </text>
    </comment>
    <comment ref="C34" authorId="0">
      <text>
        <r>
          <rPr>
            <sz val="10"/>
            <rFont val="Arial"/>
            <family val="2"/>
          </rPr>
          <t xml:space="preserve">creditmemo:
Tool: 936,342,000 dollars.</t>
        </r>
      </text>
    </comment>
    <comment ref="G7" authorId="0">
      <text>
        <r>
          <rPr>
            <sz val="10"/>
            <rFont val="Arial"/>
            <family val="2"/>
          </rPr>
          <t xml:space="preserve">creditmemo:
Tool: 13,007,186,000 dollars.</t>
        </r>
      </text>
    </comment>
    <comment ref="G8" authorId="0">
      <text>
        <r>
          <rPr>
            <sz val="10"/>
            <rFont val="Arial"/>
            <family val="2"/>
          </rPr>
          <t xml:space="preserve">creditmemo:
Tool: 635,883,000 dollars.</t>
        </r>
      </text>
    </comment>
    <comment ref="G9" authorId="0">
      <text>
        <r>
          <rPr>
            <sz val="10"/>
            <rFont val="Arial"/>
            <family val="2"/>
          </rPr>
          <t xml:space="preserve">creditmemo:
Tool: 13,643,069,000 dollars.</t>
        </r>
      </text>
    </comment>
    <comment ref="G11" authorId="0">
      <text>
        <r>
          <rPr>
            <sz val="10"/>
            <rFont val="Arial"/>
            <family val="2"/>
          </rPr>
          <t xml:space="preserve">creditmemo:
Tool: 9,243,476,000 dollars.</t>
        </r>
      </text>
    </comment>
    <comment ref="G12" authorId="0">
      <text>
        <r>
          <rPr>
            <sz val="10"/>
            <rFont val="Arial"/>
            <family val="2"/>
          </rPr>
          <t xml:space="preserve">creditmemo:
Tool: 1,673,630,000 dollars.</t>
        </r>
      </text>
    </comment>
    <comment ref="G13" authorId="0">
      <text>
        <r>
          <rPr>
            <sz val="10"/>
            <rFont val="Arial"/>
            <family val="2"/>
          </rPr>
          <t xml:space="preserve">creditmemo:
Tool: 715,348,000 dollars.</t>
        </r>
      </text>
    </comment>
    <comment ref="G14" authorId="0">
      <text>
        <r>
          <rPr>
            <sz val="10"/>
            <rFont val="Arial"/>
            <family val="2"/>
          </rPr>
          <t xml:space="preserve">creditmemo:
Tool: -33,000,000 dollars.</t>
        </r>
      </text>
    </comment>
    <comment ref="G15" authorId="0">
      <text>
        <r>
          <rPr>
            <sz val="10"/>
            <rFont val="Arial"/>
            <family val="2"/>
          </rPr>
          <t xml:space="preserve">creditmemo:
Tool: 0 dollars.</t>
        </r>
      </text>
    </comment>
    <comment ref="G16" authorId="0">
      <text>
        <r>
          <rPr>
            <sz val="10"/>
            <rFont val="Arial"/>
            <family val="2"/>
          </rPr>
          <t xml:space="preserve">creditmemo:
Tool: 0 dollars.</t>
        </r>
      </text>
    </comment>
    <comment ref="G17" authorId="0">
      <text>
        <r>
          <rPr>
            <sz val="10"/>
            <rFont val="Arial"/>
            <family val="2"/>
          </rPr>
          <t xml:space="preserve">creditmemo:
Tool: 11,599,454,000 dollars.</t>
        </r>
      </text>
    </comment>
    <comment ref="G18" authorId="0">
      <text>
        <r>
          <rPr>
            <sz val="10"/>
            <rFont val="Arial"/>
            <family val="2"/>
          </rPr>
          <t xml:space="preserve">creditmemo:
Tool: 2,043,615,000 dollars.</t>
        </r>
      </text>
    </comment>
    <comment ref="G19" authorId="0">
      <text>
        <r>
          <rPr>
            <sz val="10"/>
            <rFont val="Arial"/>
            <family val="2"/>
          </rPr>
          <t xml:space="preserve">creditmemo:
Tool: -579,926,000 dollars.</t>
        </r>
      </text>
    </comment>
    <comment ref="G20" authorId="0">
      <text>
        <r>
          <rPr>
            <sz val="10"/>
            <rFont val="Arial"/>
            <family val="2"/>
          </rPr>
          <t xml:space="preserve">creditmemo:
Tool: -14,178,000 dollars.</t>
        </r>
      </text>
    </comment>
    <comment ref="G21" authorId="0">
      <text>
        <r>
          <rPr>
            <sz val="10"/>
            <rFont val="Arial"/>
            <family val="2"/>
          </rPr>
          <t xml:space="preserve">creditmemo:
Tool: -102,688,000 dollars.</t>
        </r>
      </text>
    </comment>
    <comment ref="G22" authorId="0">
      <text>
        <r>
          <rPr>
            <sz val="10"/>
            <rFont val="Arial"/>
            <family val="2"/>
          </rPr>
          <t xml:space="preserve">creditmemo:
Tool: 1,346,823,000 dollars.</t>
        </r>
      </text>
    </comment>
    <comment ref="G23" authorId="0">
      <text>
        <r>
          <rPr>
            <sz val="10"/>
            <rFont val="Arial"/>
            <family val="2"/>
          </rPr>
          <t xml:space="preserve">creditmemo:
Tool: 293,107,000 dollars.</t>
        </r>
      </text>
    </comment>
    <comment ref="G24" authorId="0">
      <text>
        <r>
          <rPr>
            <sz val="10"/>
            <rFont val="Arial"/>
            <family val="2"/>
          </rPr>
          <t xml:space="preserve">creditmemo:
Tool: 1,053,716,000 dollars.</t>
        </r>
      </text>
    </comment>
    <comment ref="G25" authorId="0">
      <text>
        <r>
          <rPr>
            <sz val="10"/>
            <rFont val="Arial"/>
            <family val="2"/>
          </rPr>
          <t xml:space="preserve">creditmemo:
Tool: 25,000,000 dollars.</t>
        </r>
      </text>
    </comment>
    <comment ref="G26" authorId="0">
      <text>
        <r>
          <rPr>
            <sz val="10"/>
            <rFont val="Arial"/>
            <family val="2"/>
          </rPr>
          <t xml:space="preserve">creditmemo:
Tool: 1,078,716,000 dollars.</t>
        </r>
      </text>
    </comment>
    <comment ref="G27" authorId="0">
      <text>
        <r>
          <rPr>
            <sz val="10"/>
            <rFont val="Arial"/>
            <family val="2"/>
          </rPr>
          <t xml:space="preserve">creditmemo:
Tool: -331,913,000 dollars.</t>
        </r>
      </text>
    </comment>
    <comment ref="G28" authorId="0">
      <text>
        <r>
          <rPr>
            <sz val="10"/>
            <rFont val="Arial"/>
            <family val="2"/>
          </rPr>
          <t xml:space="preserve">creditmemo:
Tool: 746,803,000 dollars.</t>
        </r>
      </text>
    </comment>
    <comment ref="G32" authorId="0">
      <text>
        <r>
          <rPr>
            <sz val="10"/>
            <rFont val="Arial"/>
            <family val="2"/>
          </rPr>
          <t xml:space="preserve">creditmemo:
Tool: 721,803,000 dollars.</t>
        </r>
      </text>
    </comment>
    <comment ref="G33" authorId="0">
      <text>
        <r>
          <rPr>
            <sz val="10"/>
            <rFont val="Arial"/>
            <family val="2"/>
          </rPr>
          <t xml:space="preserve">creditmemo:
Tool: 25,000,000 dollars.</t>
        </r>
      </text>
    </comment>
    <comment ref="G34" authorId="0">
      <text>
        <r>
          <rPr>
            <sz val="10"/>
            <rFont val="Arial"/>
            <family val="2"/>
          </rPr>
          <t xml:space="preserve">creditmemo:
Tool: 746,803,000 dollars.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7" authorId="0">
      <text>
        <r>
          <rPr>
            <sz val="10"/>
            <rFont val="Arial"/>
            <family val="2"/>
          </rPr>
          <t xml:space="preserve">creditmemo:
Tool: 794,933,000 dollars.</t>
        </r>
      </text>
    </comment>
    <comment ref="C8" authorId="0">
      <text>
        <r>
          <rPr>
            <sz val="10"/>
            <rFont val="Arial"/>
            <family val="2"/>
          </rPr>
          <t xml:space="preserve">creditmemo:
Tool: 84,892,000 dollars.</t>
        </r>
      </text>
    </comment>
    <comment ref="C9" authorId="0">
      <text>
        <r>
          <rPr>
            <sz val="10"/>
            <rFont val="Arial"/>
            <family val="2"/>
          </rPr>
          <t xml:space="preserve">creditmemo:
Tool: 51,064,000 dollars.</t>
        </r>
      </text>
    </comment>
    <comment ref="C10" authorId="0">
      <text>
        <r>
          <rPr>
            <sz val="10"/>
            <rFont val="Arial"/>
            <family val="2"/>
          </rPr>
          <t xml:space="preserve">creditmemo:
Tool: 2,146,975,000 dollars.</t>
        </r>
      </text>
    </comment>
    <comment ref="C11" authorId="0">
      <text>
        <r>
          <rPr>
            <sz val="10"/>
            <rFont val="Arial"/>
            <family val="2"/>
          </rPr>
          <t xml:space="preserve">creditmemo:
Tool: 134,559,000 dollars.</t>
        </r>
      </text>
    </comment>
    <comment ref="C12" authorId="0">
      <text>
        <r>
          <rPr>
            <sz val="10"/>
            <rFont val="Arial"/>
            <family val="2"/>
          </rPr>
          <t xml:space="preserve">creditmemo:
Tool: 383,166,000 dollars.</t>
        </r>
      </text>
    </comment>
    <comment ref="C13" authorId="0">
      <text>
        <r>
          <rPr>
            <sz val="10"/>
            <rFont val="Arial"/>
            <family val="2"/>
          </rPr>
          <t xml:space="preserve">creditmemo:
Tool: 122,948,000 dollars.</t>
        </r>
      </text>
    </comment>
    <comment ref="C14" authorId="0">
      <text>
        <r>
          <rPr>
            <sz val="10"/>
            <rFont val="Arial"/>
            <family val="2"/>
          </rPr>
          <t xml:space="preserve">creditmemo:
Tool: 27,535,000 dollars.</t>
        </r>
      </text>
    </comment>
    <comment ref="C15" authorId="0">
      <text>
        <r>
          <rPr>
            <sz val="10"/>
            <rFont val="Arial"/>
            <family val="2"/>
          </rPr>
          <t xml:space="preserve">creditmemo:
Tool: 3,746,072,000 dollars.</t>
        </r>
      </text>
    </comment>
    <comment ref="C16" authorId="0">
      <text>
        <r>
          <rPr>
            <sz val="10"/>
            <rFont val="Arial"/>
            <family val="2"/>
          </rPr>
          <t xml:space="preserve">creditmemo:
Tool: 2,940,916,000 dollars.</t>
        </r>
      </text>
    </comment>
    <comment ref="C17" authorId="0">
      <text>
        <r>
          <rPr>
            <sz val="10"/>
            <rFont val="Arial"/>
            <family val="2"/>
          </rPr>
          <t xml:space="preserve">creditmemo:
Tool: 2,393,558,000 dollars.</t>
        </r>
      </text>
    </comment>
    <comment ref="C18" authorId="0">
      <text>
        <r>
          <rPr>
            <sz val="10"/>
            <rFont val="Arial"/>
            <family val="2"/>
          </rPr>
          <t xml:space="preserve">creditmemo:
Tool: 197,431,000 dollars.</t>
        </r>
      </text>
    </comment>
    <comment ref="C19" authorId="0">
      <text>
        <r>
          <rPr>
            <sz val="10"/>
            <rFont val="Arial"/>
            <family val="2"/>
          </rPr>
          <t xml:space="preserve">creditmemo:
Tool: 336,684,000 dollars.</t>
        </r>
      </text>
    </comment>
    <comment ref="C20" authorId="0">
      <text>
        <r>
          <rPr>
            <sz val="10"/>
            <rFont val="Arial"/>
            <family val="2"/>
          </rPr>
          <t xml:space="preserve">creditmemo:
Tool: 33,660,000 dollars.</t>
        </r>
      </text>
    </comment>
    <comment ref="C21" authorId="0">
      <text>
        <r>
          <rPr>
            <sz val="10"/>
            <rFont val="Arial"/>
            <family val="2"/>
          </rPr>
          <t xml:space="preserve">creditmemo:
Tool: 261,731,000 dollars.</t>
        </r>
      </text>
    </comment>
    <comment ref="C22" authorId="0">
      <text>
        <r>
          <rPr>
            <sz val="10"/>
            <rFont val="Arial"/>
            <family val="2"/>
          </rPr>
          <t xml:space="preserve">creditmemo:
Tool: 7,375,216,000 dollars.</t>
        </r>
      </text>
    </comment>
    <comment ref="C23" authorId="0">
      <text>
        <r>
          <rPr>
            <sz val="10"/>
            <rFont val="Arial"/>
            <family val="2"/>
          </rPr>
          <t xml:space="preserve">creditmemo:
Tool: 17,285,268,000 dollars.</t>
        </r>
      </text>
    </comment>
    <comment ref="C25" authorId="0">
      <text>
        <r>
          <rPr>
            <sz val="10"/>
            <rFont val="Arial"/>
            <family val="2"/>
          </rPr>
          <t xml:space="preserve">creditmemo:
Tool: 547,200,000 dollars.</t>
        </r>
      </text>
    </comment>
    <comment ref="C26" authorId="0">
      <text>
        <r>
          <rPr>
            <sz val="10"/>
            <rFont val="Arial"/>
            <family val="2"/>
          </rPr>
          <t xml:space="preserve">creditmemo:
Tool: 934,145,000 dollars.</t>
        </r>
      </text>
    </comment>
    <comment ref="C27" authorId="0">
      <text>
        <r>
          <rPr>
            <sz val="10"/>
            <rFont val="Arial"/>
            <family val="2"/>
          </rPr>
          <t xml:space="preserve">creditmemo:
Tool: 800,484,000 dollars.</t>
        </r>
      </text>
    </comment>
    <comment ref="C28" authorId="0">
      <text>
        <r>
          <rPr>
            <sz val="10"/>
            <rFont val="Arial"/>
            <family val="2"/>
          </rPr>
          <t xml:space="preserve">creditmemo:
Tool: 410,411,000 dollars.</t>
        </r>
      </text>
    </comment>
    <comment ref="C29" authorId="0">
      <text>
        <r>
          <rPr>
            <sz val="10"/>
            <rFont val="Arial"/>
            <family val="2"/>
          </rPr>
          <t xml:space="preserve">creditmemo:
Tool: 270,867,000 dollars.</t>
        </r>
      </text>
    </comment>
    <comment ref="C30" authorId="0">
      <text>
        <r>
          <rPr>
            <sz val="10"/>
            <rFont val="Arial"/>
            <family val="2"/>
          </rPr>
          <t xml:space="preserve">creditmemo:
Tool: 10,303,000 dollars.</t>
        </r>
      </text>
    </comment>
    <comment ref="C31" authorId="0">
      <text>
        <r>
          <rPr>
            <sz val="10"/>
            <rFont val="Arial"/>
            <family val="2"/>
          </rPr>
          <t xml:space="preserve">creditmemo:
Tool: 0 dollars.</t>
        </r>
      </text>
    </comment>
    <comment ref="C32" authorId="0">
      <text>
        <r>
          <rPr>
            <sz val="10"/>
            <rFont val="Arial"/>
            <family val="2"/>
          </rPr>
          <t xml:space="preserve">creditmemo:
Tool: 2,973,410,000 dollars.</t>
        </r>
      </text>
    </comment>
    <comment ref="C33" authorId="0">
      <text>
        <r>
          <rPr>
            <sz val="10"/>
            <rFont val="Arial"/>
            <family val="2"/>
          </rPr>
          <t xml:space="preserve">creditmemo:
Tool: 2,209,655,000 dollars.</t>
        </r>
      </text>
    </comment>
    <comment ref="C34" authorId="0">
      <text>
        <r>
          <rPr>
            <sz val="10"/>
            <rFont val="Arial"/>
            <family val="2"/>
          </rPr>
          <t xml:space="preserve">creditmemo:
Tool: 9,175,903,000 dollars.</t>
        </r>
      </text>
    </comment>
    <comment ref="C35" authorId="0">
      <text>
        <r>
          <rPr>
            <sz val="10"/>
            <rFont val="Arial"/>
            <family val="2"/>
          </rPr>
          <t xml:space="preserve">creditmemo:
Tool: 169,588,000 dollars.</t>
        </r>
      </text>
    </comment>
    <comment ref="C36" authorId="0">
      <text>
        <r>
          <rPr>
            <sz val="10"/>
            <rFont val="Arial"/>
            <family val="2"/>
          </rPr>
          <t xml:space="preserve">creditmemo:
Tool: 665,361,000 dollars.</t>
        </r>
      </text>
    </comment>
    <comment ref="C37" authorId="0">
      <text>
        <r>
          <rPr>
            <sz val="10"/>
            <rFont val="Arial"/>
            <family val="2"/>
          </rPr>
          <t xml:space="preserve">creditmemo:
Tool: 15,193,917,000 dollars.</t>
        </r>
      </text>
    </comment>
    <comment ref="C39" authorId="0">
      <text>
        <r>
          <rPr>
            <sz val="10"/>
            <rFont val="Arial"/>
            <family val="2"/>
          </rPr>
          <t xml:space="preserve">creditmemo:
Tool: 1,695,483,000 dollars.</t>
        </r>
      </text>
    </comment>
    <comment ref="C41" authorId="0">
      <text>
        <r>
          <rPr>
            <sz val="10"/>
            <rFont val="Arial"/>
            <family val="2"/>
          </rPr>
          <t xml:space="preserve">creditmemo:
Tool: 0 dollars.</t>
        </r>
      </text>
    </comment>
    <comment ref="C42" authorId="0">
      <text>
        <r>
          <rPr>
            <sz val="10"/>
            <rFont val="Arial"/>
            <family val="2"/>
          </rPr>
          <t xml:space="preserve">creditmemo:
Tool: 90,000 dollars.</t>
        </r>
      </text>
    </comment>
    <comment ref="C43" authorId="0">
      <text>
        <r>
          <rPr>
            <sz val="10"/>
            <rFont val="Arial"/>
            <family val="2"/>
          </rPr>
          <t xml:space="preserve">creditmemo:
Tool: 286,270,000 dollars.</t>
        </r>
      </text>
    </comment>
    <comment ref="C44" authorId="0">
      <text>
        <r>
          <rPr>
            <sz val="10"/>
            <rFont val="Arial"/>
            <family val="2"/>
          </rPr>
          <t xml:space="preserve">creditmemo:
Tool: 1,534,630,000 dollars.</t>
        </r>
      </text>
    </comment>
    <comment ref="C45" authorId="0">
      <text>
        <r>
          <rPr>
            <sz val="10"/>
            <rFont val="Arial"/>
            <family val="2"/>
          </rPr>
          <t xml:space="preserve">creditmemo:
Tool: -1,389,072,000 dollars.</t>
        </r>
      </text>
    </comment>
    <comment ref="C46" authorId="0">
      <text>
        <r>
          <rPr>
            <sz val="10"/>
            <rFont val="Arial"/>
            <family val="2"/>
          </rPr>
          <t xml:space="preserve">creditmemo:
Tool: -310,796,000 dollars.</t>
        </r>
      </text>
    </comment>
    <comment ref="C47" authorId="0">
      <text>
        <r>
          <rPr>
            <sz val="10"/>
            <rFont val="Arial"/>
            <family val="2"/>
          </rPr>
          <t xml:space="preserve">creditmemo:
Tool: 121,122,000 dollars.</t>
        </r>
      </text>
    </comment>
    <comment ref="C48" authorId="0">
      <text>
        <r>
          <rPr>
            <sz val="10"/>
            <rFont val="Arial"/>
            <family val="2"/>
          </rPr>
          <t xml:space="preserve">creditmemo:
Tool: 274,746,000 dollars.</t>
        </r>
      </text>
    </comment>
    <comment ref="C49" authorId="0">
      <text>
        <r>
          <rPr>
            <sz val="10"/>
            <rFont val="Arial"/>
            <family val="2"/>
          </rPr>
          <t xml:space="preserve">creditmemo:
Tool: 395,868,000 dollars.</t>
        </r>
      </text>
    </comment>
    <comment ref="C50" authorId="0">
      <text>
        <r>
          <rPr>
            <sz val="10"/>
            <rFont val="Arial"/>
            <family val="2"/>
          </rPr>
          <t xml:space="preserve">creditmemo:
Tool: 17,285,268,000 dollars.</t>
        </r>
      </text>
    </comment>
    <comment ref="G7" authorId="0">
      <text>
        <r>
          <rPr>
            <sz val="10"/>
            <rFont val="Arial"/>
            <family val="2"/>
          </rPr>
          <t xml:space="preserve">creditmemo:
Tool: 676,438,000 dollars.</t>
        </r>
      </text>
    </comment>
    <comment ref="G8" authorId="0">
      <text>
        <r>
          <rPr>
            <sz val="10"/>
            <rFont val="Arial"/>
            <family val="2"/>
          </rPr>
          <t xml:space="preserve">creditmemo:
Tool: 81,309,000 dollars.</t>
        </r>
      </text>
    </comment>
    <comment ref="G9" authorId="0">
      <text>
        <r>
          <rPr>
            <sz val="10"/>
            <rFont val="Arial"/>
            <family val="2"/>
          </rPr>
          <t xml:space="preserve">creditmemo:
Tool: 24,303,000 dollars.</t>
        </r>
      </text>
    </comment>
    <comment ref="G10" authorId="0">
      <text>
        <r>
          <rPr>
            <sz val="10"/>
            <rFont val="Arial"/>
            <family val="2"/>
          </rPr>
          <t xml:space="preserve">creditmemo:
Tool: 2,414,690,000 dollars.</t>
        </r>
      </text>
    </comment>
    <comment ref="G11" authorId="0">
      <text>
        <r>
          <rPr>
            <sz val="10"/>
            <rFont val="Arial"/>
            <family val="2"/>
          </rPr>
          <t xml:space="preserve">creditmemo:
Tool: 160,627,000 dollars.</t>
        </r>
      </text>
    </comment>
    <comment ref="G12" authorId="0">
      <text>
        <r>
          <rPr>
            <sz val="10"/>
            <rFont val="Arial"/>
            <family val="2"/>
          </rPr>
          <t xml:space="preserve">creditmemo:
Tool: 494,414,000 dollars.</t>
        </r>
      </text>
    </comment>
    <comment ref="G13" authorId="0">
      <text>
        <r>
          <rPr>
            <sz val="10"/>
            <rFont val="Arial"/>
            <family val="2"/>
          </rPr>
          <t xml:space="preserve">creditmemo:
Tool: 156,285,000 dollars.</t>
        </r>
      </text>
    </comment>
    <comment ref="G14" authorId="0">
      <text>
        <r>
          <rPr>
            <sz val="10"/>
            <rFont val="Arial"/>
            <family val="2"/>
          </rPr>
          <t xml:space="preserve">creditmemo:
Tool: 49,937,000 dollars.</t>
        </r>
      </text>
    </comment>
    <comment ref="G15" authorId="0">
      <text>
        <r>
          <rPr>
            <sz val="10"/>
            <rFont val="Arial"/>
            <family val="2"/>
          </rPr>
          <t xml:space="preserve">creditmemo:
Tool: 4,058,003,000 dollars.</t>
        </r>
      </text>
    </comment>
    <comment ref="G16" authorId="0">
      <text>
        <r>
          <rPr>
            <sz val="10"/>
            <rFont val="Arial"/>
            <family val="2"/>
          </rPr>
          <t xml:space="preserve">creditmemo:
Tool: 2,812,966,000 dollars.</t>
        </r>
      </text>
    </comment>
    <comment ref="G17" authorId="0">
      <text>
        <r>
          <rPr>
            <sz val="10"/>
            <rFont val="Arial"/>
            <family val="2"/>
          </rPr>
          <t xml:space="preserve">creditmemo:
Tool: 2,397,179,000 dollars.</t>
        </r>
      </text>
    </comment>
    <comment ref="G18" authorId="0">
      <text>
        <r>
          <rPr>
            <sz val="10"/>
            <rFont val="Arial"/>
            <family val="2"/>
          </rPr>
          <t xml:space="preserve">creditmemo:
Tool: 222,125,000 dollars.</t>
        </r>
      </text>
    </comment>
    <comment ref="G19" authorId="0">
      <text>
        <r>
          <rPr>
            <sz val="10"/>
            <rFont val="Arial"/>
            <family val="2"/>
          </rPr>
          <t xml:space="preserve">creditmemo:
Tool: 157,249,000 dollars.</t>
        </r>
      </text>
    </comment>
    <comment ref="G20" authorId="0">
      <text>
        <r>
          <rPr>
            <sz val="10"/>
            <rFont val="Arial"/>
            <family val="2"/>
          </rPr>
          <t xml:space="preserve">creditmemo:
Tool: 40,966,000 dollars.</t>
        </r>
      </text>
    </comment>
    <comment ref="G21" authorId="0">
      <text>
        <r>
          <rPr>
            <sz val="10"/>
            <rFont val="Arial"/>
            <family val="2"/>
          </rPr>
          <t xml:space="preserve">creditmemo:
Tool: 246,520,000 dollars.</t>
        </r>
      </text>
    </comment>
    <comment ref="G22" authorId="0">
      <text>
        <r>
          <rPr>
            <sz val="10"/>
            <rFont val="Arial"/>
            <family val="2"/>
          </rPr>
          <t xml:space="preserve">creditmemo:
Tool: 7,545,095,000 dollars.</t>
        </r>
      </text>
    </comment>
    <comment ref="G23" authorId="0">
      <text>
        <r>
          <rPr>
            <sz val="10"/>
            <rFont val="Arial"/>
            <family val="2"/>
          </rPr>
          <t xml:space="preserve">creditmemo:
Tool: 17,480,103,000 dollars.</t>
        </r>
      </text>
    </comment>
    <comment ref="G25" authorId="0">
      <text>
        <r>
          <rPr>
            <sz val="10"/>
            <rFont val="Arial"/>
            <family val="2"/>
          </rPr>
          <t xml:space="preserve">creditmemo:
Tool: 696,148,000 dollars.</t>
        </r>
      </text>
    </comment>
    <comment ref="G26" authorId="0">
      <text>
        <r>
          <rPr>
            <sz val="10"/>
            <rFont val="Arial"/>
            <family val="2"/>
          </rPr>
          <t xml:space="preserve">creditmemo:
Tool: 893,024,000 dollars.</t>
        </r>
      </text>
    </comment>
    <comment ref="G27" authorId="0">
      <text>
        <r>
          <rPr>
            <sz val="10"/>
            <rFont val="Arial"/>
            <family val="2"/>
          </rPr>
          <t xml:space="preserve">creditmemo:
Tool: 793,478,000 dollars.</t>
        </r>
      </text>
    </comment>
    <comment ref="G28" authorId="0">
      <text>
        <r>
          <rPr>
            <sz val="10"/>
            <rFont val="Arial"/>
            <family val="2"/>
          </rPr>
          <t xml:space="preserve">creditmemo:
Tool: 425,484,000 dollars.</t>
        </r>
      </text>
    </comment>
    <comment ref="G29" authorId="0">
      <text>
        <r>
          <rPr>
            <sz val="10"/>
            <rFont val="Arial"/>
            <family val="2"/>
          </rPr>
          <t xml:space="preserve">creditmemo:
Tool: 109,201,000 dollars.</t>
        </r>
      </text>
    </comment>
    <comment ref="G30" authorId="0">
      <text>
        <r>
          <rPr>
            <sz val="10"/>
            <rFont val="Arial"/>
            <family val="2"/>
          </rPr>
          <t xml:space="preserve">creditmemo:
Tool: 24,359,000 dollars.</t>
        </r>
      </text>
    </comment>
    <comment ref="G31" authorId="0">
      <text>
        <r>
          <rPr>
            <sz val="10"/>
            <rFont val="Arial"/>
            <family val="2"/>
          </rPr>
          <t xml:space="preserve">creditmemo:
Tool: 199,940,000 dollars.</t>
        </r>
      </text>
    </comment>
    <comment ref="G32" authorId="0">
      <text>
        <r>
          <rPr>
            <sz val="10"/>
            <rFont val="Arial"/>
            <family val="2"/>
          </rPr>
          <t xml:space="preserve">creditmemo:
Tool: 3,141,634,000 dollars.</t>
        </r>
      </text>
    </comment>
    <comment ref="G33" authorId="0">
      <text>
        <r>
          <rPr>
            <sz val="10"/>
            <rFont val="Arial"/>
            <family val="2"/>
          </rPr>
          <t xml:space="preserve">creditmemo:
Tool: 2,175,658,000 dollars.</t>
        </r>
      </text>
    </comment>
    <comment ref="G34" authorId="0">
      <text>
        <r>
          <rPr>
            <sz val="10"/>
            <rFont val="Arial"/>
            <family val="2"/>
          </rPr>
          <t xml:space="preserve">creditmemo:
Tool: 10,163,988,000 dollars.</t>
        </r>
      </text>
    </comment>
    <comment ref="G35" authorId="0">
      <text>
        <r>
          <rPr>
            <sz val="10"/>
            <rFont val="Arial"/>
            <family val="2"/>
          </rPr>
          <t xml:space="preserve">creditmemo:
Tool: 83,516,000 dollars.</t>
        </r>
      </text>
    </comment>
    <comment ref="G36" authorId="0">
      <text>
        <r>
          <rPr>
            <sz val="10"/>
            <rFont val="Arial"/>
            <family val="2"/>
          </rPr>
          <t xml:space="preserve">creditmemo:
Tool: 756,869,000 dollars.</t>
        </r>
      </text>
    </comment>
    <comment ref="G37" authorId="0">
      <text>
        <r>
          <rPr>
            <sz val="10"/>
            <rFont val="Arial"/>
            <family val="2"/>
          </rPr>
          <t xml:space="preserve">creditmemo:
Tool: 16,321,665,000 dollars.</t>
        </r>
      </text>
    </comment>
    <comment ref="G39" authorId="0">
      <text>
        <r>
          <rPr>
            <sz val="10"/>
            <rFont val="Arial"/>
            <family val="2"/>
          </rPr>
          <t xml:space="preserve">creditmemo:
Tool: 1,532,166,000 dollars.</t>
        </r>
      </text>
    </comment>
    <comment ref="G41" authorId="0">
      <text>
        <r>
          <rPr>
            <sz val="10"/>
            <rFont val="Arial"/>
            <family val="2"/>
          </rPr>
          <t xml:space="preserve">creditmemo:
Tool: 0 dollars.</t>
        </r>
      </text>
    </comment>
    <comment ref="G42" authorId="0">
      <text>
        <r>
          <rPr>
            <sz val="10"/>
            <rFont val="Arial"/>
            <family val="2"/>
          </rPr>
          <t xml:space="preserve">creditmemo:
Tool: 69,000 dollars.</t>
        </r>
      </text>
    </comment>
    <comment ref="G43" authorId="0">
      <text>
        <r>
          <rPr>
            <sz val="10"/>
            <rFont val="Arial"/>
            <family val="2"/>
          </rPr>
          <t xml:space="preserve">creditmemo:
Tool: 0 dollars.</t>
        </r>
      </text>
    </comment>
    <comment ref="G44" authorId="0">
      <text>
        <r>
          <rPr>
            <sz val="10"/>
            <rFont val="Arial"/>
            <family val="2"/>
          </rPr>
          <t xml:space="preserve">creditmemo:
Tool: -328,428,000 dollars.</t>
        </r>
      </text>
    </comment>
    <comment ref="G45" authorId="0">
      <text>
        <r>
          <rPr>
            <sz val="10"/>
            <rFont val="Arial"/>
            <family val="2"/>
          </rPr>
          <t xml:space="preserve">creditmemo:
Tool: -199,940,000 dollars.</t>
        </r>
      </text>
    </comment>
    <comment ref="G46" authorId="0">
      <text>
        <r>
          <rPr>
            <sz val="10"/>
            <rFont val="Arial"/>
            <family val="2"/>
          </rPr>
          <t xml:space="preserve">creditmemo:
Tool: -122,783,000 dollars.</t>
        </r>
      </text>
    </comment>
    <comment ref="G47" authorId="0">
      <text>
        <r>
          <rPr>
            <sz val="10"/>
            <rFont val="Arial"/>
            <family val="2"/>
          </rPr>
          <t xml:space="preserve">creditmemo:
Tool: -651,082,000 dollars.</t>
        </r>
      </text>
    </comment>
    <comment ref="G48" authorId="0">
      <text>
        <r>
          <rPr>
            <sz val="10"/>
            <rFont val="Arial"/>
            <family val="2"/>
          </rPr>
          <t xml:space="preserve">creditmemo:
Tool: 277,354,000 dollars.</t>
        </r>
      </text>
    </comment>
    <comment ref="G49" authorId="0">
      <text>
        <r>
          <rPr>
            <sz val="10"/>
            <rFont val="Arial"/>
            <family val="2"/>
          </rPr>
          <t xml:space="preserve">creditmemo:
Tool: -373,728,000 dollars.</t>
        </r>
      </text>
    </comment>
    <comment ref="G50" authorId="0">
      <text>
        <r>
          <rPr>
            <sz val="10"/>
            <rFont val="Arial"/>
            <family val="2"/>
          </rPr>
          <t xml:space="preserve">creditmemo:
Tool: 17,480,103,000 dollars.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7" authorId="0">
      <text>
        <r>
          <rPr>
            <sz val="10"/>
            <rFont val="Arial"/>
            <family val="2"/>
          </rPr>
          <t xml:space="preserve">creditmemo:
Tool: 1,250,737,000 dollars.</t>
        </r>
      </text>
    </comment>
    <comment ref="C9" authorId="0">
      <text>
        <r>
          <rPr>
            <sz val="10"/>
            <rFont val="Arial"/>
            <family val="2"/>
          </rPr>
          <t xml:space="preserve">creditmemo:
Tool: 723,860,000 dollars.</t>
        </r>
      </text>
    </comment>
    <comment ref="C10" authorId="0">
      <text>
        <r>
          <rPr>
            <sz val="10"/>
            <rFont val="Arial"/>
            <family val="2"/>
          </rPr>
          <t xml:space="preserve">creditmemo:
Tool: 0 dollars.</t>
        </r>
      </text>
    </comment>
    <comment ref="C11" authorId="0">
      <text>
        <r>
          <rPr>
            <sz val="10"/>
            <rFont val="Arial"/>
            <family val="2"/>
          </rPr>
          <t xml:space="preserve">creditmemo:
Tool: 12,527,000 dollars.</t>
        </r>
      </text>
    </comment>
    <comment ref="C12" authorId="0">
      <text>
        <r>
          <rPr>
            <sz val="10"/>
            <rFont val="Arial"/>
            <family val="2"/>
          </rPr>
          <t xml:space="preserve">creditmemo:
Tool: 102,788,000 dollars.</t>
        </r>
      </text>
    </comment>
    <comment ref="C13" authorId="0">
      <text>
        <r>
          <rPr>
            <sz val="10"/>
            <rFont val="Arial"/>
            <family val="2"/>
          </rPr>
          <t xml:space="preserve">creditmemo:
Tool: -57,840,000 dollars.</t>
        </r>
      </text>
    </comment>
    <comment ref="C14" authorId="0">
      <text>
        <r>
          <rPr>
            <sz val="10"/>
            <rFont val="Arial"/>
            <family val="2"/>
          </rPr>
          <t xml:space="preserve">creditmemo:
Tool: 115,839,000 dollars.</t>
        </r>
      </text>
    </comment>
    <comment ref="C15" authorId="0">
      <text>
        <r>
          <rPr>
            <sz val="10"/>
            <rFont val="Arial"/>
            <family val="2"/>
          </rPr>
          <t xml:space="preserve">creditmemo:
Tool: -109,466,000 dollars.</t>
        </r>
      </text>
    </comment>
    <comment ref="C16" authorId="0">
      <text>
        <r>
          <rPr>
            <sz val="10"/>
            <rFont val="Arial"/>
            <family val="2"/>
          </rPr>
          <t xml:space="preserve">creditmemo:
Tool: 13,414,000 dollars.</t>
        </r>
      </text>
    </comment>
    <comment ref="C18" authorId="0">
      <text>
        <r>
          <rPr>
            <sz val="10"/>
            <rFont val="Arial"/>
            <family val="2"/>
          </rPr>
          <t xml:space="preserve">creditmemo:
Tool: -29,766,000 dollars.</t>
        </r>
      </text>
    </comment>
    <comment ref="C19" authorId="0">
      <text>
        <r>
          <rPr>
            <sz val="10"/>
            <rFont val="Arial"/>
            <family val="2"/>
          </rPr>
          <t xml:space="preserve">creditmemo:
Tool: 17,942,000 dollars.</t>
        </r>
      </text>
    </comment>
    <comment ref="C20" authorId="0">
      <text>
        <r>
          <rPr>
            <sz val="10"/>
            <rFont val="Arial"/>
            <family val="2"/>
          </rPr>
          <t xml:space="preserve">creditmemo:
Tool: 36,801,000 dollars.</t>
        </r>
      </text>
    </comment>
    <comment ref="C21" authorId="0">
      <text>
        <r>
          <rPr>
            <sz val="10"/>
            <rFont val="Arial"/>
            <family val="2"/>
          </rPr>
          <t xml:space="preserve">creditmemo:
Tool: -67,031,000 dollars.</t>
        </r>
      </text>
    </comment>
    <comment ref="C22" authorId="0">
      <text>
        <r>
          <rPr>
            <sz val="10"/>
            <rFont val="Arial"/>
            <family val="2"/>
          </rPr>
          <t xml:space="preserve">creditmemo:
Tool: 1,699,000 dollars.</t>
        </r>
      </text>
    </comment>
    <comment ref="C23" authorId="0">
      <text>
        <r>
          <rPr>
            <sz val="10"/>
            <rFont val="Arial"/>
            <family val="2"/>
          </rPr>
          <t xml:space="preserve">creditmemo:
Tool: 14,687,000 dollars.</t>
        </r>
      </text>
    </comment>
    <comment ref="C24" authorId="0">
      <text>
        <r>
          <rPr>
            <sz val="10"/>
            <rFont val="Arial"/>
            <family val="2"/>
          </rPr>
          <t xml:space="preserve">creditmemo:
Tool: 46,733,000 dollars.</t>
        </r>
      </text>
    </comment>
    <comment ref="C25" authorId="0">
      <text>
        <r>
          <rPr>
            <sz val="10"/>
            <rFont val="Arial"/>
            <family val="2"/>
          </rPr>
          <t xml:space="preserve">creditmemo:
Tool: -44,214,000 dollars.</t>
        </r>
      </text>
    </comment>
    <comment ref="C26" authorId="0">
      <text>
        <r>
          <rPr>
            <sz val="10"/>
            <rFont val="Arial"/>
            <family val="2"/>
          </rPr>
          <t xml:space="preserve">creditmemo:
Tool: -6,672,000 dollars.</t>
        </r>
      </text>
    </comment>
    <comment ref="C27" authorId="0">
      <text>
        <r>
          <rPr>
            <sz val="10"/>
            <rFont val="Arial"/>
            <family val="2"/>
          </rPr>
          <t xml:space="preserve">creditmemo:
Tool: 2,022,038,000 dollars.</t>
        </r>
      </text>
    </comment>
    <comment ref="C29" authorId="0">
      <text>
        <r>
          <rPr>
            <sz val="10"/>
            <rFont val="Arial"/>
            <family val="2"/>
          </rPr>
          <t xml:space="preserve">creditmemo:
Tool: -555,443,000 dollars.</t>
        </r>
      </text>
    </comment>
    <comment ref="C30" authorId="0">
      <text>
        <r>
          <rPr>
            <sz val="10"/>
            <rFont val="Arial"/>
            <family val="2"/>
          </rPr>
          <t xml:space="preserve">creditmemo:
Tool: -246,068,000 dollars.</t>
        </r>
      </text>
    </comment>
    <comment ref="C31" authorId="0">
      <text>
        <r>
          <rPr>
            <sz val="10"/>
            <rFont val="Arial"/>
            <family val="2"/>
          </rPr>
          <t xml:space="preserve">creditmemo:
Tool: 25,862,000 dollars.</t>
        </r>
      </text>
    </comment>
    <comment ref="C32" authorId="0">
      <text>
        <r>
          <rPr>
            <sz val="10"/>
            <rFont val="Arial"/>
            <family val="2"/>
          </rPr>
          <t xml:space="preserve">creditmemo:
Tool: -15,319,000 dollars.</t>
        </r>
      </text>
    </comment>
    <comment ref="C33" authorId="0">
      <text>
        <r>
          <rPr>
            <sz val="10"/>
            <rFont val="Arial"/>
            <family val="2"/>
          </rPr>
          <t xml:space="preserve">creditmemo:
Tool: -9,140,000 dollars.</t>
        </r>
      </text>
    </comment>
    <comment ref="C34" authorId="0">
      <text>
        <r>
          <rPr>
            <sz val="10"/>
            <rFont val="Arial"/>
            <family val="2"/>
          </rPr>
          <t xml:space="preserve">creditmemo:
Tool: 22,638,000 dollars.</t>
        </r>
      </text>
    </comment>
    <comment ref="C35" authorId="0">
      <text>
        <r>
          <rPr>
            <sz val="10"/>
            <rFont val="Arial"/>
            <family val="2"/>
          </rPr>
          <t xml:space="preserve">creditmemo:
Tool: 4,566,000 dollars.</t>
        </r>
      </text>
    </comment>
    <comment ref="C36" authorId="0">
      <text>
        <r>
          <rPr>
            <sz val="10"/>
            <rFont val="Arial"/>
            <family val="2"/>
          </rPr>
          <t xml:space="preserve">creditmemo:
Tool: -5,205,000 dollars.</t>
        </r>
      </text>
    </comment>
    <comment ref="C37" authorId="0">
      <text>
        <r>
          <rPr>
            <sz val="10"/>
            <rFont val="Arial"/>
            <family val="2"/>
          </rPr>
          <t xml:space="preserve">creditmemo:
Tool: 6,680,000 dollars.</t>
        </r>
      </text>
    </comment>
    <comment ref="C38" authorId="0">
      <text>
        <r>
          <rPr>
            <sz val="10"/>
            <rFont val="Arial"/>
            <family val="2"/>
          </rPr>
          <t xml:space="preserve">creditmemo:
Tool: -771,429,000 dollars.</t>
        </r>
      </text>
    </comment>
    <comment ref="C40" authorId="0">
      <text>
        <r>
          <rPr>
            <sz val="10"/>
            <rFont val="Arial"/>
            <family val="2"/>
          </rPr>
          <t xml:space="preserve">creditmemo:
Tool: 6,624,310,000 dollars.</t>
        </r>
      </text>
    </comment>
    <comment ref="C41" authorId="0">
      <text>
        <r>
          <rPr>
            <sz val="10"/>
            <rFont val="Arial"/>
            <family val="2"/>
          </rPr>
          <t xml:space="preserve">creditmemo:
Tool: -5,515,213,000 dollars.</t>
        </r>
      </text>
    </comment>
    <comment ref="C42" authorId="0">
      <text>
        <r>
          <rPr>
            <sz val="10"/>
            <rFont val="Arial"/>
            <family val="2"/>
          </rPr>
          <t xml:space="preserve">creditmemo:
Tool: -50,874,000 dollars.</t>
        </r>
      </text>
    </comment>
    <comment ref="C43" authorId="0">
      <text>
        <r>
          <rPr>
            <sz val="10"/>
            <rFont val="Arial"/>
            <family val="2"/>
          </rPr>
          <t xml:space="preserve">creditmemo:
Tool: 0 dollars.</t>
        </r>
      </text>
    </comment>
    <comment ref="C44" authorId="0">
      <text>
        <r>
          <rPr>
            <sz val="10"/>
            <rFont val="Arial"/>
            <family val="2"/>
          </rPr>
          <t xml:space="preserve">creditmemo:
Tool: -1,385,932,000 dollars.</t>
        </r>
      </text>
    </comment>
    <comment ref="C45" authorId="0">
      <text>
        <r>
          <rPr>
            <sz val="10"/>
            <rFont val="Arial"/>
            <family val="2"/>
          </rPr>
          <t xml:space="preserve">creditmemo:
Tool: -337,042,000 dollars.</t>
        </r>
      </text>
    </comment>
    <comment ref="C46" authorId="0">
      <text>
        <r>
          <rPr>
            <sz val="10"/>
            <rFont val="Arial"/>
            <family val="2"/>
          </rPr>
          <t xml:space="preserve">creditmemo:
Tool: 20,453,000 dollars.</t>
        </r>
      </text>
    </comment>
    <comment ref="C47" authorId="0">
      <text>
        <r>
          <rPr>
            <sz val="10"/>
            <rFont val="Arial"/>
            <family val="2"/>
          </rPr>
          <t xml:space="preserve">creditmemo:
Tool: -134,040,000 dollars.</t>
        </r>
      </text>
    </comment>
    <comment ref="C48" authorId="0">
      <text>
        <r>
          <rPr>
            <sz val="10"/>
            <rFont val="Arial"/>
            <family val="2"/>
          </rPr>
          <t xml:space="preserve">creditmemo:
Tool: 14,499,000 dollars.</t>
        </r>
      </text>
    </comment>
    <comment ref="C49" authorId="0">
      <text>
        <r>
          <rPr>
            <sz val="10"/>
            <rFont val="Arial"/>
            <family val="2"/>
          </rPr>
          <t xml:space="preserve">creditmemo:
Tool: 860,000 dollars.</t>
        </r>
      </text>
    </comment>
    <comment ref="C50" authorId="0">
      <text>
        <r>
          <rPr>
            <sz val="10"/>
            <rFont val="Arial"/>
            <family val="2"/>
          </rPr>
          <t xml:space="preserve">creditmemo:
Tool: -53,958,000 dollars.</t>
        </r>
      </text>
    </comment>
    <comment ref="C51" authorId="0">
      <text>
        <r>
          <rPr>
            <sz val="10"/>
            <rFont val="Arial"/>
            <family val="2"/>
          </rPr>
          <t xml:space="preserve">creditmemo:
Tool: -816,937,000 dollars.</t>
        </r>
      </text>
    </comment>
    <comment ref="C52" authorId="0">
      <text>
        <r>
          <rPr>
            <sz val="10"/>
            <rFont val="Arial"/>
            <family val="2"/>
          </rPr>
          <t xml:space="preserve">creditmemo:
Tool: -18,481,000 dollars.</t>
        </r>
      </text>
    </comment>
    <comment ref="C53" authorId="0">
      <text>
        <r>
          <rPr>
            <sz val="10"/>
            <rFont val="Arial"/>
            <family val="2"/>
          </rPr>
          <t xml:space="preserve">creditmemo:
Tool: 415,191,000 dollars.</t>
        </r>
      </text>
    </comment>
    <comment ref="C54" authorId="0">
      <text>
        <r>
          <rPr>
            <sz val="10"/>
            <rFont val="Arial"/>
            <family val="2"/>
          </rPr>
          <t xml:space="preserve">creditmemo:
Tool: 464,634,000 dollars.</t>
        </r>
      </text>
    </comment>
    <comment ref="C55" authorId="0">
      <text>
        <r>
          <rPr>
            <sz val="10"/>
            <rFont val="Arial"/>
            <family val="2"/>
          </rPr>
          <t xml:space="preserve">creditmemo:
Tool: 879,825,000 dollars.</t>
        </r>
      </text>
    </comment>
    <comment ref="G7" authorId="0">
      <text>
        <r>
          <rPr>
            <sz val="10"/>
            <rFont val="Arial"/>
            <family val="2"/>
          </rPr>
          <t xml:space="preserve">creditmemo:
Tool: 1,078,716,000 dollars.</t>
        </r>
      </text>
    </comment>
    <comment ref="G9" authorId="0">
      <text>
        <r>
          <rPr>
            <sz val="10"/>
            <rFont val="Arial"/>
            <family val="2"/>
          </rPr>
          <t xml:space="preserve">creditmemo:
Tool: 715,348,000 dollars.</t>
        </r>
      </text>
    </comment>
    <comment ref="G10" authorId="0">
      <text>
        <r>
          <rPr>
            <sz val="10"/>
            <rFont val="Arial"/>
            <family val="2"/>
          </rPr>
          <t xml:space="preserve">creditmemo:
Tool: 0 dollars.</t>
        </r>
      </text>
    </comment>
    <comment ref="G11" authorId="0">
      <text>
        <r>
          <rPr>
            <sz val="10"/>
            <rFont val="Arial"/>
            <family val="2"/>
          </rPr>
          <t xml:space="preserve">creditmemo:
Tool: 12,386,000 dollars.</t>
        </r>
      </text>
    </comment>
    <comment ref="G12" authorId="0">
      <text>
        <r>
          <rPr>
            <sz val="10"/>
            <rFont val="Arial"/>
            <family val="2"/>
          </rPr>
          <t xml:space="preserve">creditmemo:
Tool: 139,953,000 dollars.</t>
        </r>
      </text>
    </comment>
    <comment ref="G13" authorId="0">
      <text>
        <r>
          <rPr>
            <sz val="10"/>
            <rFont val="Arial"/>
            <family val="2"/>
          </rPr>
          <t xml:space="preserve">creditmemo:
Tool: 86,574,000 dollars.</t>
        </r>
      </text>
    </comment>
    <comment ref="G14" authorId="0">
      <text>
        <r>
          <rPr>
            <sz val="10"/>
            <rFont val="Arial"/>
            <family val="2"/>
          </rPr>
          <t xml:space="preserve">creditmemo:
Tool: 134,313,000 dollars.</t>
        </r>
      </text>
    </comment>
    <comment ref="G15" authorId="0">
      <text>
        <r>
          <rPr>
            <sz val="10"/>
            <rFont val="Arial"/>
            <family val="2"/>
          </rPr>
          <t xml:space="preserve">creditmemo:
Tool: 0 dollars.</t>
        </r>
      </text>
    </comment>
    <comment ref="G16" authorId="0">
      <text>
        <r>
          <rPr>
            <sz val="10"/>
            <rFont val="Arial"/>
            <family val="2"/>
          </rPr>
          <t xml:space="preserve">creditmemo:
Tool: -17,549,000 dollars.</t>
        </r>
      </text>
    </comment>
    <comment ref="G18" authorId="0">
      <text>
        <r>
          <rPr>
            <sz val="10"/>
            <rFont val="Arial"/>
            <family val="2"/>
          </rPr>
          <t xml:space="preserve">creditmemo:
Tool: -210,632,000 dollars.</t>
        </r>
      </text>
    </comment>
    <comment ref="G19" authorId="0">
      <text>
        <r>
          <rPr>
            <sz val="10"/>
            <rFont val="Arial"/>
            <family val="2"/>
          </rPr>
          <t xml:space="preserve">creditmemo:
Tool: -19,950,000 dollars.</t>
        </r>
      </text>
    </comment>
    <comment ref="G20" authorId="0">
      <text>
        <r>
          <rPr>
            <sz val="10"/>
            <rFont val="Arial"/>
            <family val="2"/>
          </rPr>
          <t xml:space="preserve">creditmemo:
Tool: -124,297,000 dollars.</t>
        </r>
      </text>
    </comment>
    <comment ref="G21" authorId="0">
      <text>
        <r>
          <rPr>
            <sz val="10"/>
            <rFont val="Arial"/>
            <family val="2"/>
          </rPr>
          <t xml:space="preserve">creditmemo:
Tool: -40,253,000 dollars.</t>
        </r>
      </text>
    </comment>
    <comment ref="G22" authorId="0">
      <text>
        <r>
          <rPr>
            <sz val="10"/>
            <rFont val="Arial"/>
            <family val="2"/>
          </rPr>
          <t xml:space="preserve">creditmemo:
Tool: 128,303,000 dollars.</t>
        </r>
      </text>
    </comment>
    <comment ref="G23" authorId="0">
      <text>
        <r>
          <rPr>
            <sz val="10"/>
            <rFont val="Arial"/>
            <family val="2"/>
          </rPr>
          <t xml:space="preserve">creditmemo:
Tool: -24,042,000 dollars.</t>
        </r>
      </text>
    </comment>
    <comment ref="G24" authorId="0">
      <text>
        <r>
          <rPr>
            <sz val="10"/>
            <rFont val="Arial"/>
            <family val="2"/>
          </rPr>
          <t xml:space="preserve">creditmemo:
Tool: -29,963,000 dollars.</t>
        </r>
      </text>
    </comment>
    <comment ref="G25" authorId="0">
      <text>
        <r>
          <rPr>
            <sz val="10"/>
            <rFont val="Arial"/>
            <family val="2"/>
          </rPr>
          <t xml:space="preserve">creditmemo:
Tool: 50,245,000 dollars.</t>
        </r>
      </text>
    </comment>
    <comment ref="G26" authorId="0">
      <text>
        <r>
          <rPr>
            <sz val="10"/>
            <rFont val="Arial"/>
            <family val="2"/>
          </rPr>
          <t xml:space="preserve">creditmemo:
Tool: 7,348,000 dollars.</t>
        </r>
      </text>
    </comment>
    <comment ref="G27" authorId="0">
      <text>
        <r>
          <rPr>
            <sz val="10"/>
            <rFont val="Arial"/>
            <family val="2"/>
          </rPr>
          <t xml:space="preserve">creditmemo:
Tool: 1,886,500,000 dollars.</t>
        </r>
      </text>
    </comment>
    <comment ref="G29" authorId="0">
      <text>
        <r>
          <rPr>
            <sz val="10"/>
            <rFont val="Arial"/>
            <family val="2"/>
          </rPr>
          <t xml:space="preserve">creditmemo:
Tool: -575,864,000 dollars.</t>
        </r>
      </text>
    </comment>
    <comment ref="G30" authorId="0">
      <text>
        <r>
          <rPr>
            <sz val="10"/>
            <rFont val="Arial"/>
            <family val="2"/>
          </rPr>
          <t xml:space="preserve">creditmemo:
Tool: -117,468,000 dollars.</t>
        </r>
      </text>
    </comment>
    <comment ref="G31" authorId="0">
      <text>
        <r>
          <rPr>
            <sz val="10"/>
            <rFont val="Arial"/>
            <family val="2"/>
          </rPr>
          <t xml:space="preserve">creditmemo:
Tool: 34,173,000 dollars.</t>
        </r>
      </text>
    </comment>
    <comment ref="G32" authorId="0">
      <text>
        <r>
          <rPr>
            <sz val="10"/>
            <rFont val="Arial"/>
            <family val="2"/>
          </rPr>
          <t xml:space="preserve">creditmemo:
Tool: -16,405,000 dollars.</t>
        </r>
      </text>
    </comment>
    <comment ref="G33" authorId="0">
      <text>
        <r>
          <rPr>
            <sz val="10"/>
            <rFont val="Arial"/>
            <family val="2"/>
          </rPr>
          <t xml:space="preserve">creditmemo:
Tool: -6,031,000 dollars.</t>
        </r>
      </text>
    </comment>
    <comment ref="G34" authorId="0">
      <text>
        <r>
          <rPr>
            <sz val="10"/>
            <rFont val="Arial"/>
            <family val="2"/>
          </rPr>
          <t xml:space="preserve">creditmemo:
Tool: 45,413,000 dollars.</t>
        </r>
      </text>
    </comment>
    <comment ref="G35" authorId="0">
      <text>
        <r>
          <rPr>
            <sz val="10"/>
            <rFont val="Arial"/>
            <family val="2"/>
          </rPr>
          <t xml:space="preserve">creditmemo:
Tool: 6,723,000 dollars.</t>
        </r>
      </text>
    </comment>
    <comment ref="G36" authorId="0">
      <text>
        <r>
          <rPr>
            <sz val="10"/>
            <rFont val="Arial"/>
            <family val="2"/>
          </rPr>
          <t xml:space="preserve">creditmemo:
Tool: -27,030,000 dollars.</t>
        </r>
      </text>
    </comment>
    <comment ref="G37" authorId="0">
      <text>
        <r>
          <rPr>
            <sz val="10"/>
            <rFont val="Arial"/>
            <family val="2"/>
          </rPr>
          <t xml:space="preserve">creditmemo:
Tool: 1,540,000 dollars.</t>
        </r>
      </text>
    </comment>
    <comment ref="G38" authorId="0">
      <text>
        <r>
          <rPr>
            <sz val="10"/>
            <rFont val="Arial"/>
            <family val="2"/>
          </rPr>
          <t xml:space="preserve">creditmemo:
Tool: -654,949,000 dollars.</t>
        </r>
      </text>
    </comment>
    <comment ref="G40" authorId="0">
      <text>
        <r>
          <rPr>
            <sz val="10"/>
            <rFont val="Arial"/>
            <family val="2"/>
          </rPr>
          <t xml:space="preserve">creditmemo:
Tool: 5,612,280,000 dollars.</t>
        </r>
      </text>
    </comment>
    <comment ref="G41" authorId="0">
      <text>
        <r>
          <rPr>
            <sz val="10"/>
            <rFont val="Arial"/>
            <family val="2"/>
          </rPr>
          <t xml:space="preserve">creditmemo:
Tool: -4,788,845,000 dollars.</t>
        </r>
      </text>
    </comment>
    <comment ref="G42" authorId="0">
      <text>
        <r>
          <rPr>
            <sz val="10"/>
            <rFont val="Arial"/>
            <family val="2"/>
          </rPr>
          <t xml:space="preserve">creditmemo:
Tool: -53,819,000 dollars.</t>
        </r>
      </text>
    </comment>
    <comment ref="G43" authorId="0">
      <text>
        <r>
          <rPr>
            <sz val="10"/>
            <rFont val="Arial"/>
            <family val="2"/>
          </rPr>
          <t xml:space="preserve">creditmemo:
Tool: -484,633,000 dollars.</t>
        </r>
      </text>
    </comment>
    <comment ref="G44" authorId="0">
      <text>
        <r>
          <rPr>
            <sz val="10"/>
            <rFont val="Arial"/>
            <family val="2"/>
          </rPr>
          <t xml:space="preserve">creditmemo:
Tool: -1,308,366,000 dollars.</t>
        </r>
      </text>
    </comment>
    <comment ref="G45" authorId="0">
      <text>
        <r>
          <rPr>
            <sz val="10"/>
            <rFont val="Arial"/>
            <family val="2"/>
          </rPr>
          <t xml:space="preserve">creditmemo:
Tool: -324,270,000 dollars.</t>
        </r>
      </text>
    </comment>
    <comment ref="G46" authorId="0">
      <text>
        <r>
          <rPr>
            <sz val="10"/>
            <rFont val="Arial"/>
            <family val="2"/>
          </rPr>
          <t xml:space="preserve">creditmemo:
Tool: 23,290,000 dollars.</t>
        </r>
      </text>
    </comment>
    <comment ref="G47" authorId="0">
      <text>
        <r>
          <rPr>
            <sz val="10"/>
            <rFont val="Arial"/>
            <family val="2"/>
          </rPr>
          <t xml:space="preserve">creditmemo:
Tool: -35,291,000 dollars.</t>
        </r>
      </text>
    </comment>
    <comment ref="G48" authorId="0">
      <text>
        <r>
          <rPr>
            <sz val="10"/>
            <rFont val="Arial"/>
            <family val="2"/>
          </rPr>
          <t xml:space="preserve">creditmemo:
Tool: 7,078,000 dollars.</t>
        </r>
      </text>
    </comment>
    <comment ref="G49" authorId="0">
      <text>
        <r>
          <rPr>
            <sz val="10"/>
            <rFont val="Arial"/>
            <family val="2"/>
          </rPr>
          <t xml:space="preserve">creditmemo:
Tool: 3,794,000 dollars.</t>
        </r>
      </text>
    </comment>
    <comment ref="G50" authorId="0">
      <text>
        <r>
          <rPr>
            <sz val="10"/>
            <rFont val="Arial"/>
            <family val="2"/>
          </rPr>
          <t xml:space="preserve">creditmemo:
Tool: -25,998,000 dollars.</t>
        </r>
      </text>
    </comment>
    <comment ref="G51" authorId="0">
      <text>
        <r>
          <rPr>
            <sz val="10"/>
            <rFont val="Arial"/>
            <family val="2"/>
          </rPr>
          <t xml:space="preserve">creditmemo:
Tool: -1,374,780,000 dollars.</t>
        </r>
      </text>
    </comment>
    <comment ref="G52" authorId="0">
      <text>
        <r>
          <rPr>
            <sz val="10"/>
            <rFont val="Arial"/>
            <family val="2"/>
          </rPr>
          <t xml:space="preserve">creditmemo:
Tool: 21,151,000 dollars.</t>
        </r>
      </text>
    </comment>
    <comment ref="G53" authorId="0">
      <text>
        <r>
          <rPr>
            <sz val="10"/>
            <rFont val="Arial"/>
            <family val="2"/>
          </rPr>
          <t xml:space="preserve">creditmemo:
Tool: -122,078,000 dollars.</t>
        </r>
      </text>
    </comment>
    <comment ref="G54" authorId="0">
      <text>
        <r>
          <rPr>
            <sz val="10"/>
            <rFont val="Arial"/>
            <family val="2"/>
          </rPr>
          <t xml:space="preserve">creditmemo:
Tool: 879,825,000 dollars.</t>
        </r>
      </text>
    </comment>
    <comment ref="G55" authorId="0">
      <text>
        <r>
          <rPr>
            <sz val="10"/>
            <rFont val="Arial"/>
            <family val="2"/>
          </rPr>
          <t xml:space="preserve">creditmemo:
Tool: 757,747,000 dollars.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creditmemo:
Tool: 689,130,000 dollars.</t>
        </r>
      </text>
    </comment>
    <comment ref="C7" authorId="0">
      <text>
        <r>
          <rPr>
            <sz val="10"/>
            <rFont val="Arial"/>
            <family val="2"/>
          </rPr>
          <t xml:space="preserve">creditmemo:
Tool: 2,620,066,000 dollars.</t>
        </r>
      </text>
    </comment>
    <comment ref="C8" authorId="0">
      <text>
        <r>
          <rPr>
            <sz val="10"/>
            <rFont val="Arial"/>
            <family val="2"/>
          </rPr>
          <t xml:space="preserve">creditmemo:
Tool: 270,867,000 dollars.</t>
        </r>
      </text>
    </comment>
    <comment ref="C9" authorId="0">
      <text>
        <r>
          <rPr>
            <sz val="10"/>
            <rFont val="Arial"/>
            <family val="2"/>
          </rPr>
          <t xml:space="preserve">creditmemo:
Tool: 387,940,000 dollars.</t>
        </r>
      </text>
    </comment>
    <comment ref="G6" authorId="0">
      <text>
        <r>
          <rPr>
            <sz val="10"/>
            <rFont val="Arial"/>
            <family val="2"/>
          </rPr>
          <t xml:space="preserve">creditmemo:
Tool: 702,180,000 dollars.</t>
        </r>
      </text>
    </comment>
    <comment ref="G7" authorId="0">
      <text>
        <r>
          <rPr>
            <sz val="10"/>
            <rFont val="Arial"/>
            <family val="2"/>
          </rPr>
          <t xml:space="preserve">creditmemo:
Tool: 2,601,142,000 dollars.</t>
        </r>
      </text>
    </comment>
    <comment ref="G8" authorId="0">
      <text>
        <r>
          <rPr>
            <sz val="10"/>
            <rFont val="Arial"/>
            <family val="2"/>
          </rPr>
          <t xml:space="preserve">creditmemo:
Tool: 109,201,000 dollars.</t>
        </r>
      </text>
    </comment>
    <comment ref="G9" authorId="0">
      <text>
        <r>
          <rPr>
            <sz val="10"/>
            <rFont val="Arial"/>
            <family val="2"/>
          </rPr>
          <t xml:space="preserve">creditmemo:
Tool: 176,688,000 dollars.</t>
        </r>
      </text>
    </comment>
  </commentList>
</comments>
</file>

<file path=xl/sharedStrings.xml><?xml version="1.0" encoding="utf-8"?>
<sst xmlns="http://schemas.openxmlformats.org/spreadsheetml/2006/main" count="481" uniqueCount="407">
  <si>
    <t xml:space="preserve">DaVita Inc. (DVA): hand check against the 10-K</t>
  </si>
  <si>
    <t xml:space="preserve">Unit you type in ($ per unit)</t>
  </si>
  <si>
    <t xml:space="preserve">From the statement header: '$ in thousands'</t>
  </si>
  <si>
    <t xml:space="preserve">Match target</t>
  </si>
  <si>
    <t xml:space="preserve">Years</t>
  </si>
  <si>
    <t xml:space="preserve">FY2024, FY2025</t>
  </si>
  <si>
    <t xml:space="preserve">10-K</t>
  </si>
  <si>
    <t xml:space="preserve">Filed 2026-02-11 (accession 0000927066-26-000012)</t>
  </si>
  <si>
    <t xml:space="preserve">How to use</t>
  </si>
  <si>
    <t xml:space="preserve">Each statement tab lists the statement exactly as the 10-K prints it. Open the 10-K at that statement and type every figure into the yellow cells as printed: a number in parentheses is negative, so (579,926) is typed as -579926. Leave a cell blank until you've checked it. Red = more than the target away from the tool's figure.</t>
  </si>
  <si>
    <t xml:space="preserve">Example</t>
  </si>
  <si>
    <t xml:space="preserve">Income statement tab, 'Dialysis patient service revenues', FY2025: the 10-K prints 13,007,186, so type 13007186. Under 'Page / note' write e.g. 'Consolidated Statements of Income, p. 72'.</t>
  </si>
  <si>
    <t xml:space="preserve">Tab</t>
  </si>
  <si>
    <t xml:space="preserve">Lines checked</t>
  </si>
  <si>
    <t xml:space="preserve">Within target</t>
  </si>
  <si>
    <t xml:space="preserve">Match rate</t>
  </si>
  <si>
    <t xml:space="preserve">Income statement</t>
  </si>
  <si>
    <t xml:space="preserve">Balance sheet</t>
  </si>
  <si>
    <t xml:space="preserve">Cash flow</t>
  </si>
  <si>
    <t xml:space="preserve">Notes</t>
  </si>
  <si>
    <t xml:space="preserve">All tabs</t>
  </si>
  <si>
    <t xml:space="preserve">CONSOLIDATED STATEMENTS OF INCOME (DaVita Inc.)</t>
  </si>
  <si>
    <t xml:space="preserve">As printed in the 10-K filed 2026-02-11: CONSOLIDATED STATEMENTS OF INCOME - USD ($) $ in Thousands. Yellow = type the 10-K figure. Blue = the tool's figure. Red = outside the target.</t>
  </si>
  <si>
    <t xml:space="preserve">Open this statement on SEC.gov</t>
  </si>
  <si>
    <t xml:space="preserve">FY2024</t>
  </si>
  <si>
    <t xml:space="preserve">FY2025</t>
  </si>
  <si>
    <t xml:space="preserve">Line</t>
  </si>
  <si>
    <t xml:space="preserve">XBRL tag</t>
  </si>
  <si>
    <t xml:space="preserve">Tool</t>
  </si>
  <si>
    <t xml:space="preserve">Diff</t>
  </si>
  <si>
    <t xml:space="preserve">OK</t>
  </si>
  <si>
    <t xml:space="preserve">Page / note</t>
  </si>
  <si>
    <t xml:space="preserve">Note</t>
  </si>
  <si>
    <t xml:space="preserve">row id</t>
  </si>
  <si>
    <t xml:space="preserve">Income Statement [Abstract]</t>
  </si>
  <si>
    <t xml:space="preserve">Dialysis patient service revenues</t>
  </si>
  <si>
    <t xml:space="preserve">dva_RevenueFromContractWithCustomerIncludingAssessedTaxNetOfProvisionForUncollectibleAccounts</t>
  </si>
  <si>
    <t xml:space="preserve">income:1</t>
  </si>
  <si>
    <t xml:space="preserve">Other revenues</t>
  </si>
  <si>
    <t xml:space="preserve">us-gaap_OtherIncome</t>
  </si>
  <si>
    <t xml:space="preserve">income:2</t>
  </si>
  <si>
    <t xml:space="preserve">Total revenues</t>
  </si>
  <si>
    <t xml:space="preserve">us-gaap_Revenues</t>
  </si>
  <si>
    <t xml:space="preserve">income:3</t>
  </si>
  <si>
    <t xml:space="preserve">Operating expenses:</t>
  </si>
  <si>
    <t xml:space="preserve">Patient care costs</t>
  </si>
  <si>
    <t xml:space="preserve">dva_PatientCareCosts</t>
  </si>
  <si>
    <t xml:space="preserve">income:5</t>
  </si>
  <si>
    <t xml:space="preserve">General and administrative</t>
  </si>
  <si>
    <t xml:space="preserve">us-gaap_GeneralAndAdministrativeExpense</t>
  </si>
  <si>
    <t xml:space="preserve">income:6</t>
  </si>
  <si>
    <t xml:space="preserve">Depreciation and amortization</t>
  </si>
  <si>
    <t xml:space="preserve">us-gaap_DepreciationAndAmortization</t>
  </si>
  <si>
    <t xml:space="preserve">income:7</t>
  </si>
  <si>
    <t xml:space="preserve">Equity investment income, net</t>
  </si>
  <si>
    <t xml:space="preserve">us-gaap_IncomeLossFromEquityMethodInvestments</t>
  </si>
  <si>
    <t xml:space="preserve">income:8</t>
  </si>
  <si>
    <t xml:space="preserve">Goodwill impairment charges</t>
  </si>
  <si>
    <t xml:space="preserve">us-gaap_GoodwillImpairmentLoss</t>
  </si>
  <si>
    <t xml:space="preserve">income:9</t>
  </si>
  <si>
    <t xml:space="preserve">Gain on changes in ownership interests</t>
  </si>
  <si>
    <t xml:space="preserve">us-gaap_BusinessCombinationStepAcquisitionEquityInterestInAcquireeRemeasurementGain</t>
  </si>
  <si>
    <t xml:space="preserve">income:10</t>
  </si>
  <si>
    <t xml:space="preserve">Total operating expenses</t>
  </si>
  <si>
    <t xml:space="preserve">us-gaap_CostsAndExpenses</t>
  </si>
  <si>
    <t xml:space="preserve">income:11</t>
  </si>
  <si>
    <t xml:space="preserve">Operating income</t>
  </si>
  <si>
    <t xml:space="preserve">us-gaap_OperatingIncomeLoss</t>
  </si>
  <si>
    <t xml:space="preserve">income:12</t>
  </si>
  <si>
    <t xml:space="preserve">Debt expense</t>
  </si>
  <si>
    <t xml:space="preserve">us-gaap_InterestAndDebtExpense</t>
  </si>
  <si>
    <t xml:space="preserve">income:13</t>
  </si>
  <si>
    <t xml:space="preserve">Debt extinguishment and modification costs</t>
  </si>
  <si>
    <t xml:space="preserve">dva_DebtPrepaymentExtinguishmentAndModificationCosts</t>
  </si>
  <si>
    <t xml:space="preserve">income:14</t>
  </si>
  <si>
    <t xml:space="preserve">Other loss, net</t>
  </si>
  <si>
    <t xml:space="preserve">us-gaap_OtherNonoperatingIncomeExpense</t>
  </si>
  <si>
    <t xml:space="preserve">income:15</t>
  </si>
  <si>
    <t xml:space="preserve">Income from continuing operations before income taxes</t>
  </si>
  <si>
    <t xml:space="preserve">us-gaap_IncomeLossFromContinuingOperationsBeforeIncomeTaxesExtraordinaryItemsNoncontrollingInterest</t>
  </si>
  <si>
    <t xml:space="preserve">income:16</t>
  </si>
  <si>
    <t xml:space="preserve">Income tax expense</t>
  </si>
  <si>
    <t xml:space="preserve">us-gaap_IncomeTaxExpenseBenefit</t>
  </si>
  <si>
    <t xml:space="preserve">income:17</t>
  </si>
  <si>
    <t xml:space="preserve">Net income from continuing operations</t>
  </si>
  <si>
    <t xml:space="preserve">us-gaap_IncomeLossFromContinuingOperationsIncludingPortionAttributableToNoncontrollingInterest</t>
  </si>
  <si>
    <t xml:space="preserve">income:18</t>
  </si>
  <si>
    <t xml:space="preserve">Net income from discontinued operations, net of tax</t>
  </si>
  <si>
    <t xml:space="preserve">us-gaap_IncomeLossFromDiscontinuedOperationsNetOfTax</t>
  </si>
  <si>
    <t xml:space="preserve">income:19</t>
  </si>
  <si>
    <t xml:space="preserve">Net income</t>
  </si>
  <si>
    <t xml:space="preserve">us-gaap_ProfitLoss</t>
  </si>
  <si>
    <t xml:space="preserve">income:20</t>
  </si>
  <si>
    <t xml:space="preserve">Less: Net income attributable to noncontrolling interests</t>
  </si>
  <si>
    <t xml:space="preserve">us-gaap_NetIncomeLossAttributableToNoncontrollingInterest</t>
  </si>
  <si>
    <t xml:space="preserve">income:21</t>
  </si>
  <si>
    <t xml:space="preserve">Net income attributable to DaVita Inc.</t>
  </si>
  <si>
    <t xml:space="preserve">us-gaap_NetIncomeLoss</t>
  </si>
  <si>
    <t xml:space="preserve">income:22</t>
  </si>
  <si>
    <t xml:space="preserve">Earnings per share attributable to DaVita Inc.:</t>
  </si>
  <si>
    <t xml:space="preserve">Weighted average shares for earnings per share:</t>
  </si>
  <si>
    <t xml:space="preserve">Amounts attributable to DaVita Inc.:</t>
  </si>
  <si>
    <t xml:space="preserve">us-gaap_IncomeLossFromContinuingOperations</t>
  </si>
  <si>
    <t xml:space="preserve">income:32</t>
  </si>
  <si>
    <t xml:space="preserve">Net income from discontinued operations</t>
  </si>
  <si>
    <t xml:space="preserve">us-gaap_IncomeLossFromDiscontinuedOperationsNetOfTaxAttributableToReportingEntity</t>
  </si>
  <si>
    <t xml:space="preserve">income:33</t>
  </si>
  <si>
    <t xml:space="preserve">income:34</t>
  </si>
  <si>
    <t xml:space="preserve">CONSOLIDATED BALANCE SHEETS (DaVita Inc.)</t>
  </si>
  <si>
    <t xml:space="preserve">As printed in the 10-K filed 2026-02-11: CONSOLIDATED BALANCE SHEETS - USD ($) $ in Thousands. Yellow = type the 10-K figure. Blue = the tool's figure. Red = outside the target.</t>
  </si>
  <si>
    <t xml:space="preserve">ASSETS</t>
  </si>
  <si>
    <t xml:space="preserve">Cash and cash equivalents</t>
  </si>
  <si>
    <t xml:space="preserve">us-gaap_CashAndCashEquivalentsAtCarryingValue</t>
  </si>
  <si>
    <t xml:space="preserve">balance:1</t>
  </si>
  <si>
    <t xml:space="preserve">Restricted cash and equivalents</t>
  </si>
  <si>
    <t xml:space="preserve">us-gaap_RestrictedCashAndCashEquivalents</t>
  </si>
  <si>
    <t xml:space="preserve">balance:2</t>
  </si>
  <si>
    <t xml:space="preserve">Short-term investments</t>
  </si>
  <si>
    <t xml:space="preserve">us-gaap_MarketableSecuritiesCurrent</t>
  </si>
  <si>
    <t xml:space="preserve">balance:3</t>
  </si>
  <si>
    <t xml:space="preserve">Accounts receivable</t>
  </si>
  <si>
    <t xml:space="preserve">us-gaap_AccountsReceivableNetCurrent</t>
  </si>
  <si>
    <t xml:space="preserve">balance:4</t>
  </si>
  <si>
    <t xml:space="preserve">Inventories</t>
  </si>
  <si>
    <t xml:space="preserve">us-gaap_InventoryNet</t>
  </si>
  <si>
    <t xml:space="preserve">balance:5</t>
  </si>
  <si>
    <t xml:space="preserve">Contract assets and other receivables</t>
  </si>
  <si>
    <t xml:space="preserve">us-gaap_OtherReceivablesNetCurrent</t>
  </si>
  <si>
    <t xml:space="preserve">balance:6</t>
  </si>
  <si>
    <t xml:space="preserve">Prepaid and other current assets</t>
  </si>
  <si>
    <t xml:space="preserve">us-gaap_PrepaidExpenseAndOtherAssetsCurrent</t>
  </si>
  <si>
    <t xml:space="preserve">balance:7</t>
  </si>
  <si>
    <t xml:space="preserve">Income tax receivable</t>
  </si>
  <si>
    <t xml:space="preserve">us-gaap_IncomeTaxesReceivable</t>
  </si>
  <si>
    <t xml:space="preserve">balance:8</t>
  </si>
  <si>
    <t xml:space="preserve">Total current assets</t>
  </si>
  <si>
    <t xml:space="preserve">us-gaap_AssetsCurrent</t>
  </si>
  <si>
    <t xml:space="preserve">balance:9</t>
  </si>
  <si>
    <t xml:space="preserve">Property and equipment, net of accumulated depreciation</t>
  </si>
  <si>
    <t xml:space="preserve">us-gaap_PropertyPlantAndEquipmentNet</t>
  </si>
  <si>
    <t xml:space="preserve">balance:10</t>
  </si>
  <si>
    <t xml:space="preserve">Operating lease right-of-use assets</t>
  </si>
  <si>
    <t xml:space="preserve">us-gaap_OperatingLeaseRightOfUseAsset</t>
  </si>
  <si>
    <t xml:space="preserve">balance:11</t>
  </si>
  <si>
    <t xml:space="preserve">Intangible assets, net of accumulated amortization</t>
  </si>
  <si>
    <t xml:space="preserve">us-gaap_IntangibleAssetsNetExcludingGoodwill</t>
  </si>
  <si>
    <t xml:space="preserve">balance:12</t>
  </si>
  <si>
    <t xml:space="preserve">Equity method and other investments</t>
  </si>
  <si>
    <t xml:space="preserve">us-gaap_InvestmentsInAffiliatesSubsidiariesAssociatesAndJointVentures</t>
  </si>
  <si>
    <t xml:space="preserve">balance:13</t>
  </si>
  <si>
    <t xml:space="preserve">Long-term investments</t>
  </si>
  <si>
    <t xml:space="preserve">us-gaap_MarketableSecuritiesNoncurrent</t>
  </si>
  <si>
    <t xml:space="preserve">balance:14</t>
  </si>
  <si>
    <t xml:space="preserve">Other long-term assets</t>
  </si>
  <si>
    <t xml:space="preserve">us-gaap_OtherAssetsNoncurrent</t>
  </si>
  <si>
    <t xml:space="preserve">balance:15</t>
  </si>
  <si>
    <t xml:space="preserve">Goodwill</t>
  </si>
  <si>
    <t xml:space="preserve">us-gaap_Goodwill</t>
  </si>
  <si>
    <t xml:space="preserve">balance:16</t>
  </si>
  <si>
    <t xml:space="preserve">Assets, Total</t>
  </si>
  <si>
    <t xml:space="preserve">us-gaap_Assets</t>
  </si>
  <si>
    <t xml:space="preserve">balance:17</t>
  </si>
  <si>
    <t xml:space="preserve">LIABILITIES AND EQUITY</t>
  </si>
  <si>
    <t xml:space="preserve">Accounts payable</t>
  </si>
  <si>
    <t xml:space="preserve">us-gaap_AccountsPayableCurrent</t>
  </si>
  <si>
    <t xml:space="preserve">balance:19</t>
  </si>
  <si>
    <t xml:space="preserve">Other liabilities</t>
  </si>
  <si>
    <t xml:space="preserve">us-gaap_OtherLiabilitiesCurrent</t>
  </si>
  <si>
    <t xml:space="preserve">balance:20</t>
  </si>
  <si>
    <t xml:space="preserve">Accrued compensation and benefits</t>
  </si>
  <si>
    <t xml:space="preserve">us-gaap_EmployeeRelatedLiabilitiesCurrent</t>
  </si>
  <si>
    <t xml:space="preserve">balance:21</t>
  </si>
  <si>
    <t xml:space="preserve">Current portion of operating lease liabilities</t>
  </si>
  <si>
    <t xml:space="preserve">us-gaap_OperatingLeaseLiabilityCurrent</t>
  </si>
  <si>
    <t xml:space="preserve">balance:22</t>
  </si>
  <si>
    <t xml:space="preserve">Current portion of long-term debt</t>
  </si>
  <si>
    <t xml:space="preserve">us-gaap_LongTermDebtAndCapitalLeaseObligationsCurrent</t>
  </si>
  <si>
    <t xml:space="preserve">balance:23</t>
  </si>
  <si>
    <t xml:space="preserve">Income tax payable</t>
  </si>
  <si>
    <t xml:space="preserve">us-gaap_AccruedIncomeTaxesCurrent</t>
  </si>
  <si>
    <t xml:space="preserve">balance:24</t>
  </si>
  <si>
    <t xml:space="preserve">Due to Related Party</t>
  </si>
  <si>
    <t xml:space="preserve">dva_DueToRelatedParty</t>
  </si>
  <si>
    <t xml:space="preserve">balance:25</t>
  </si>
  <si>
    <t xml:space="preserve">Total current liabilities</t>
  </si>
  <si>
    <t xml:space="preserve">us-gaap_LiabilitiesCurrent</t>
  </si>
  <si>
    <t xml:space="preserve">balance:26</t>
  </si>
  <si>
    <t xml:space="preserve">Long-term operating lease liabilities</t>
  </si>
  <si>
    <t xml:space="preserve">us-gaap_OperatingLeaseLiabilityNoncurrent</t>
  </si>
  <si>
    <t xml:space="preserve">balance:27</t>
  </si>
  <si>
    <t xml:space="preserve">Long-term debt</t>
  </si>
  <si>
    <t xml:space="preserve">us-gaap_LongTermDebtAndCapitalLeaseObligations</t>
  </si>
  <si>
    <t xml:space="preserve">balance:28</t>
  </si>
  <si>
    <t xml:space="preserve">Other long-term liabilities</t>
  </si>
  <si>
    <t xml:space="preserve">us-gaap_OtherLiabilitiesNoncurrent</t>
  </si>
  <si>
    <t xml:space="preserve">balance:29</t>
  </si>
  <si>
    <t xml:space="preserve">Deferred income taxes</t>
  </si>
  <si>
    <t xml:space="preserve">us-gaap_DeferredIncomeTaxLiabilitiesNet</t>
  </si>
  <si>
    <t xml:space="preserve">balance:30</t>
  </si>
  <si>
    <t xml:space="preserve">Total liabilities</t>
  </si>
  <si>
    <t xml:space="preserve">us-gaap_Liabilities</t>
  </si>
  <si>
    <t xml:space="preserve">balance:31</t>
  </si>
  <si>
    <t xml:space="preserve">Commitments and contingencies</t>
  </si>
  <si>
    <t xml:space="preserve">Noncontrolling interests subject to put provisions</t>
  </si>
  <si>
    <t xml:space="preserve">us-gaap_RedeemableNoncontrollingInterestEquityCarryingAmount</t>
  </si>
  <si>
    <t xml:space="preserve">balance:33</t>
  </si>
  <si>
    <t xml:space="preserve">Equity:</t>
  </si>
  <si>
    <t xml:space="preserve">Preferred Stock, Value, Issued</t>
  </si>
  <si>
    <t xml:space="preserve">us-gaap_PreferredStockValue</t>
  </si>
  <si>
    <t xml:space="preserve">balance:35</t>
  </si>
  <si>
    <t xml:space="preserve">Common Stock, Value, Issued</t>
  </si>
  <si>
    <t xml:space="preserve">us-gaap_CommonStockValue</t>
  </si>
  <si>
    <t xml:space="preserve">balance:36</t>
  </si>
  <si>
    <t xml:space="preserve">Additional paid-in capital</t>
  </si>
  <si>
    <t xml:space="preserve">us-gaap_AdditionalPaidInCapitalCommonStock</t>
  </si>
  <si>
    <t xml:space="preserve">balance:37</t>
  </si>
  <si>
    <t xml:space="preserve">Accumulated (deficit) earnings</t>
  </si>
  <si>
    <t xml:space="preserve">us-gaap_RetainedEarningsAccumulatedDeficit</t>
  </si>
  <si>
    <t xml:space="preserve">balance:38</t>
  </si>
  <si>
    <t xml:space="preserve">Treasury Stock, Value</t>
  </si>
  <si>
    <t xml:space="preserve">us-gaap_TreasuryStockValue</t>
  </si>
  <si>
    <t xml:space="preserve">balance:39</t>
  </si>
  <si>
    <t xml:space="preserve">Accumulated other comprehensive loss</t>
  </si>
  <si>
    <t xml:space="preserve">us-gaap_AccumulatedOtherComprehensiveIncomeLossNetOfTax</t>
  </si>
  <si>
    <t xml:space="preserve">balance:40</t>
  </si>
  <si>
    <t xml:space="preserve">Total DaVita Inc. shareholders' equity (deficit)</t>
  </si>
  <si>
    <t xml:space="preserve">us-gaap_StockholdersEquity</t>
  </si>
  <si>
    <t xml:space="preserve">balance:41</t>
  </si>
  <si>
    <t xml:space="preserve">Noncontrolling interests not subject to put provisions</t>
  </si>
  <si>
    <t xml:space="preserve">us-gaap_MinorityInterest</t>
  </si>
  <si>
    <t xml:space="preserve">balance:42</t>
  </si>
  <si>
    <t xml:space="preserve">Total equity (deficit)</t>
  </si>
  <si>
    <t xml:space="preserve">us-gaap_StockholdersEquityIncludingPortionAttributableToNoncontrollingInterest</t>
  </si>
  <si>
    <t xml:space="preserve">balance:43</t>
  </si>
  <si>
    <t xml:space="preserve">Total liabilities and shareholders' equity</t>
  </si>
  <si>
    <t xml:space="preserve">us-gaap_LiabilitiesAndStockholdersEquity</t>
  </si>
  <si>
    <t xml:space="preserve">balance:44</t>
  </si>
  <si>
    <t xml:space="preserve">CONSOLIDATED STATEMENTS OF CASH FLOWS (DaVita Inc.)</t>
  </si>
  <si>
    <t xml:space="preserve">As printed in the 10-K filed 2026-02-11: CONSOLIDATED STATEMENTS OF CASH FLOWS - USD ($) $ in Thousands. Yellow = type the 10-K figure. Blue = the tool's figure. Red = outside the target.</t>
  </si>
  <si>
    <t xml:space="preserve">Cash flows from operating activities:</t>
  </si>
  <si>
    <t xml:space="preserve">cashflow:1</t>
  </si>
  <si>
    <t xml:space="preserve">Adjustment to Reconcile Net Income to Cash Provided by (Used in) Operating Activity [Abstract]</t>
  </si>
  <si>
    <t xml:space="preserve">us-gaap_DepreciationAmortizationAndAccretionNet</t>
  </si>
  <si>
    <t xml:space="preserve">cashflow:3</t>
  </si>
  <si>
    <t xml:space="preserve">Impairment charges</t>
  </si>
  <si>
    <t xml:space="preserve">us-gaap_GoodwillAndIntangibleAssetImpairment</t>
  </si>
  <si>
    <t xml:space="preserve">cashflow:4</t>
  </si>
  <si>
    <t xml:space="preserve">Loss on extinguishment of debt</t>
  </si>
  <si>
    <t xml:space="preserve">dva_LossOnExtinguishmentOfDebt</t>
  </si>
  <si>
    <t xml:space="preserve">cashflow:5</t>
  </si>
  <si>
    <t xml:space="preserve">Stock-based compensation expense</t>
  </si>
  <si>
    <t xml:space="preserve">us-gaap_ShareBasedCompensation</t>
  </si>
  <si>
    <t xml:space="preserve">cashflow:6</t>
  </si>
  <si>
    <t xml:space="preserve">us-gaap_DeferredIncomeTaxExpenseBenefit</t>
  </si>
  <si>
    <t xml:space="preserve">cashflow:7</t>
  </si>
  <si>
    <t xml:space="preserve">Equity investment loss, net</t>
  </si>
  <si>
    <t xml:space="preserve">dva_AdjustmentIncomeLossFromEquityMethodInvestments</t>
  </si>
  <si>
    <t xml:space="preserve">cashflow:8</t>
  </si>
  <si>
    <t xml:space="preserve">cashflow:9</t>
  </si>
  <si>
    <t xml:space="preserve">Other non-cash (gains) and losses, net</t>
  </si>
  <si>
    <t xml:space="preserve">us-gaap_OtherNoncashIncomeExpense</t>
  </si>
  <si>
    <t xml:space="preserve">cashflow:10</t>
  </si>
  <si>
    <t xml:space="preserve">Changes in operating assets and liabilities, net of effect of acquisitions and divestitures:</t>
  </si>
  <si>
    <t xml:space="preserve">us-gaap_IncreaseDecreaseInAccountsReceivable</t>
  </si>
  <si>
    <t xml:space="preserve">cashflow:12</t>
  </si>
  <si>
    <t xml:space="preserve">us-gaap_IncreaseDecreaseInInventories</t>
  </si>
  <si>
    <t xml:space="preserve">cashflow:13</t>
  </si>
  <si>
    <t xml:space="preserve">Other current assets</t>
  </si>
  <si>
    <t xml:space="preserve">dva_IncreaseDecreaseInOtherCurrentReceivablesAndOtherCurrentAssets</t>
  </si>
  <si>
    <t xml:space="preserve">cashflow:14</t>
  </si>
  <si>
    <t xml:space="preserve">us-gaap_IncreaseDecreaseInOtherNoncurrentAssets</t>
  </si>
  <si>
    <t xml:space="preserve">cashflow:15</t>
  </si>
  <si>
    <t xml:space="preserve">us-gaap_IncreaseDecreaseInAccountsPayable</t>
  </si>
  <si>
    <t xml:space="preserve">cashflow:16</t>
  </si>
  <si>
    <t xml:space="preserve">us-gaap_IncreaseDecreaseInEmployeeRelatedLiabilities</t>
  </si>
  <si>
    <t xml:space="preserve">cashflow:17</t>
  </si>
  <si>
    <t xml:space="preserve">Other current liabilities</t>
  </si>
  <si>
    <t xml:space="preserve">us-gaap_IncreaseDecreaseInOtherCurrentLiabilities</t>
  </si>
  <si>
    <t xml:space="preserve">cashflow:18</t>
  </si>
  <si>
    <t xml:space="preserve">Income taxes</t>
  </si>
  <si>
    <t xml:space="preserve">us-gaap_IncreaseDecreaseInAccruedIncomeTaxesPayable</t>
  </si>
  <si>
    <t xml:space="preserve">cashflow:19</t>
  </si>
  <si>
    <t xml:space="preserve">us-gaap_IncreaseDecreaseInOtherNoncurrentLiabilities</t>
  </si>
  <si>
    <t xml:space="preserve">cashflow:20</t>
  </si>
  <si>
    <t xml:space="preserve">Net Cash Provided by (Used in) Operating Activities, Total</t>
  </si>
  <si>
    <t xml:space="preserve">us-gaap_NetCashProvidedByUsedInOperatingActivities</t>
  </si>
  <si>
    <t xml:space="preserve">cashflow:21</t>
  </si>
  <si>
    <t xml:space="preserve">Cash flows from investing activities:</t>
  </si>
  <si>
    <t xml:space="preserve">Additions of property and equipment</t>
  </si>
  <si>
    <t xml:space="preserve">us-gaap_PaymentsToAcquirePropertyPlantAndEquipment</t>
  </si>
  <si>
    <t xml:space="preserve">cashflow:23</t>
  </si>
  <si>
    <t xml:space="preserve">Acquisitions</t>
  </si>
  <si>
    <t xml:space="preserve">us-gaap_PaymentsToAcquireBusinessesNetOfCashAcquired</t>
  </si>
  <si>
    <t xml:space="preserve">cashflow:24</t>
  </si>
  <si>
    <t xml:space="preserve">Proceeds from asset and business sales</t>
  </si>
  <si>
    <t xml:space="preserve">us-gaap_ProceedsFromSalesOfBusinessAffiliateAndProductiveAssets</t>
  </si>
  <si>
    <t xml:space="preserve">cashflow:25</t>
  </si>
  <si>
    <t xml:space="preserve">Purchase of debt investments held-to-maturity</t>
  </si>
  <si>
    <t xml:space="preserve">us-gaap_PaymentsToAcquireHeldToMaturitySecurities</t>
  </si>
  <si>
    <t xml:space="preserve">cashflow:26</t>
  </si>
  <si>
    <t xml:space="preserve">Purchase of other debt and equity investments</t>
  </si>
  <si>
    <t xml:space="preserve">dva_PaymentsToAcquireOtherDebtAndEquityInvestments</t>
  </si>
  <si>
    <t xml:space="preserve">cashflow:27</t>
  </si>
  <si>
    <t xml:space="preserve">Proceeds from debt investments held-to-maturity</t>
  </si>
  <si>
    <t xml:space="preserve">us-gaap_ProceedsFromSaleAndMaturityOfHeldToMaturitySecurities</t>
  </si>
  <si>
    <t xml:space="preserve">cashflow:28</t>
  </si>
  <si>
    <t xml:space="preserve">Proceeds from sale of other debt and equity investments</t>
  </si>
  <si>
    <t xml:space="preserve">us-gaap_ProceedsFromSaleAndMaturityOfOtherInvestments</t>
  </si>
  <si>
    <t xml:space="preserve">cashflow:29</t>
  </si>
  <si>
    <t xml:space="preserve">Purchase of equity method investments</t>
  </si>
  <si>
    <t xml:space="preserve">us-gaap_PaymentsToAcquireEquityMethodInvestments</t>
  </si>
  <si>
    <t xml:space="preserve">cashflow:30</t>
  </si>
  <si>
    <t xml:space="preserve">Distributions from equity method investments</t>
  </si>
  <si>
    <t xml:space="preserve">us-gaap_ProceedsFromEquityMethodInvestmentDividendsOrDistributionsReturnOfCapital</t>
  </si>
  <si>
    <t xml:space="preserve">cashflow:31</t>
  </si>
  <si>
    <t xml:space="preserve">Net Cash Provided by (Used in) Investing Activities, Total</t>
  </si>
  <si>
    <t xml:space="preserve">us-gaap_NetCashProvidedByUsedInInvestingActivities</t>
  </si>
  <si>
    <t xml:space="preserve">cashflow:32</t>
  </si>
  <si>
    <t xml:space="preserve">Cash flows from financing activities:</t>
  </si>
  <si>
    <t xml:space="preserve">Borrowings</t>
  </si>
  <si>
    <t xml:space="preserve">us-gaap_ProceedsFromIssuanceOfLongTermDebt</t>
  </si>
  <si>
    <t xml:space="preserve">cashflow:34</t>
  </si>
  <si>
    <t xml:space="preserve">Payments on long-term debt</t>
  </si>
  <si>
    <t xml:space="preserve">us-gaap_RepaymentsOfDebtAndCapitalLeaseObligations</t>
  </si>
  <si>
    <t xml:space="preserve">cashflow:35</t>
  </si>
  <si>
    <t xml:space="preserve">Deferred and debt related financing costs</t>
  </si>
  <si>
    <t xml:space="preserve">us-gaap_PaymentsOfFinancingCosts</t>
  </si>
  <si>
    <t xml:space="preserve">cashflow:36</t>
  </si>
  <si>
    <t xml:space="preserve">Purchase Of Treasury Stock From Related Party</t>
  </si>
  <si>
    <t xml:space="preserve">dva_PurchaseOfTreasuryStockFromRelatedParty</t>
  </si>
  <si>
    <t xml:space="preserve">cashflow:37</t>
  </si>
  <si>
    <t xml:space="preserve">Purchase of treasury stock</t>
  </si>
  <si>
    <t xml:space="preserve">us-gaap_PaymentsForRepurchaseOfCommonStock</t>
  </si>
  <si>
    <t xml:space="preserve">cashflow:38</t>
  </si>
  <si>
    <t xml:space="preserve">Distributions to noncontrolling interests</t>
  </si>
  <si>
    <t xml:space="preserve">us-gaap_PaymentsOfDistributionsToAffiliates</t>
  </si>
  <si>
    <t xml:space="preserve">cashflow:39</t>
  </si>
  <si>
    <t xml:space="preserve">Net proceeds from issuance of common stock under employee stock plans</t>
  </si>
  <si>
    <t xml:space="preserve">dva_NetProceedsFromIssuanceOfStockToEmployees</t>
  </si>
  <si>
    <t xml:space="preserve">cashflow:40</t>
  </si>
  <si>
    <t xml:space="preserve">Payment, Tax Withholding, Share-Based Payment Arrangement</t>
  </si>
  <si>
    <t xml:space="preserve">us-gaap_PaymentsRelatedToTaxWithholdingForShareBasedCompensation</t>
  </si>
  <si>
    <t xml:space="preserve">cashflow:41</t>
  </si>
  <si>
    <t xml:space="preserve">Contributions from noncontrolling interests</t>
  </si>
  <si>
    <t xml:space="preserve">us-gaap_ProceedsFromContributionsFromAffiliates</t>
  </si>
  <si>
    <t xml:space="preserve">cashflow:42</t>
  </si>
  <si>
    <t xml:space="preserve">Proceeds from sales of additional noncontrolling interests</t>
  </si>
  <si>
    <t xml:space="preserve">us-gaap_ProceedsFromMinorityShareholders</t>
  </si>
  <si>
    <t xml:space="preserve">cashflow:43</t>
  </si>
  <si>
    <t xml:space="preserve">Purchases of noncontrolling interests</t>
  </si>
  <si>
    <t xml:space="preserve">us-gaap_PaymentsToMinorityShareholders</t>
  </si>
  <si>
    <t xml:space="preserve">cashflow:44</t>
  </si>
  <si>
    <t xml:space="preserve">Net cash used in financing activities</t>
  </si>
  <si>
    <t xml:space="preserve">us-gaap_NetCashProvidedByUsedInFinancingActivities</t>
  </si>
  <si>
    <t xml:space="preserve">cashflow:45</t>
  </si>
  <si>
    <t xml:space="preserve">Effect of exchange rate changes on cash, cash equivalents and restricted cash</t>
  </si>
  <si>
    <t xml:space="preserve">us-gaap_EffectOfExchangeRateOnCashCashEquivalentsRestrictedCashAndRestrictedCashEquivalentsIncludingDisposalGroupAndDiscontinuedOperations</t>
  </si>
  <si>
    <t xml:space="preserve">cashflow:46</t>
  </si>
  <si>
    <t xml:space="preserve">Less: Net increase (decrease) in cash, cash equivalents and restricted cash</t>
  </si>
  <si>
    <t xml:space="preserve">us-gaap_CashCashEquivalentsRestrictedCashAndRestrictedCashEquivalentsPeriodIncreaseDecreaseIncludingExchangeRateEffect</t>
  </si>
  <si>
    <t xml:space="preserve">cashflow:47</t>
  </si>
  <si>
    <t xml:space="preserve">Cash, cash equivalents and restricted cash of continuing operations at beginning of the year</t>
  </si>
  <si>
    <t xml:space="preserve">us-gaap_CashCashEquivalentsRestrictedCashAndRestrictedCashEquivalents</t>
  </si>
  <si>
    <t xml:space="preserve">cashflow:48</t>
  </si>
  <si>
    <t xml:space="preserve">Cash, cash equivalents and restricted cash of continuing operations at end of the year</t>
  </si>
  <si>
    <t xml:space="preserve">cashflow:49</t>
  </si>
  <si>
    <t xml:space="preserve">Items from the notes (DaVita Inc.)</t>
  </si>
  <si>
    <t xml:space="preserve">These come from the XBRL company facts, not the statements. Type them from the notes.</t>
  </si>
  <si>
    <t xml:space="preserve">XBRL tag / source</t>
  </si>
  <si>
    <t xml:space="preserve">Tool note</t>
  </si>
  <si>
    <t xml:space="preserve">Operating lease cost (Leases note: operating lease cost)</t>
  </si>
  <si>
    <t xml:space="preserve">OperatingLeaseCost</t>
  </si>
  <si>
    <t xml:space="preserve">notes:operating_lease_cost</t>
  </si>
  <si>
    <t xml:space="preserve">Operating lease liabilities, total (Leases note: total operating lease liabilities)</t>
  </si>
  <si>
    <t xml:space="preserve">OperatingLeaseLiability</t>
  </si>
  <si>
    <t xml:space="preserve">notes:operating_lease_liabilities</t>
  </si>
  <si>
    <t xml:space="preserve">Debt due in the next 12 months (Debt note: maturities table, first year)</t>
  </si>
  <si>
    <t xml:space="preserve">LongTermDebtMaturitiesRepaymentsOfPrincipalInNextTwelveMonths</t>
  </si>
  <si>
    <t xml:space="preserve">notes:scheduled_principal</t>
  </si>
  <si>
    <t xml:space="preserve">Cash taxes paid (Cash flow supplemental disclosure or tax note)</t>
  </si>
  <si>
    <t xml:space="preserve">IncomeTaxesPaidNet</t>
  </si>
  <si>
    <t xml:space="preserve">notes:cash_taxes</t>
  </si>
  <si>
    <t xml:space="preserve">Ratios rebuilt from your typed 10-K figures</t>
  </si>
  <si>
    <t xml:space="preserve">Each line adds up the typed statement lines that the standard spread maps to it, with the same signs. A year fills in once its lines are typed. Green = linked cells.</t>
  </si>
  <si>
    <t xml:space="preserve">Item</t>
  </si>
  <si>
    <t xml:space="preserve">From 10-K</t>
  </si>
  <si>
    <t xml:space="preserve">Revenue</t>
  </si>
  <si>
    <t xml:space="preserve">D&amp;A (cash flow statement)</t>
  </si>
  <si>
    <t xml:space="preserve">EBITDA</t>
  </si>
  <si>
    <t xml:space="preserve">Interest expense</t>
  </si>
  <si>
    <t xml:space="preserve">Total debt</t>
  </si>
  <si>
    <t xml:space="preserve">Cash</t>
  </si>
  <si>
    <t xml:space="preserve">Net debt</t>
  </si>
  <si>
    <t xml:space="preserve">Capex</t>
  </si>
  <si>
    <t xml:space="preserve">Operating lease cost (Notes tab)</t>
  </si>
  <si>
    <t xml:space="preserve">Operating lease liabilities, total (Notes tab)</t>
  </si>
  <si>
    <t xml:space="preserve">Debt due in the next 12 months (Notes tab)</t>
  </si>
  <si>
    <t xml:space="preserve">Cash taxes paid (Notes tab)</t>
  </si>
  <si>
    <t xml:space="preserve">EBITDAR</t>
  </si>
  <si>
    <t xml:space="preserve">Current assets</t>
  </si>
  <si>
    <t xml:space="preserve">Current liabilities</t>
  </si>
  <si>
    <t xml:space="preserve">Debt / EBITDA</t>
  </si>
  <si>
    <t xml:space="preserve">Net debt / EBITDA</t>
  </si>
  <si>
    <t xml:space="preserve">(Debt + leases) / EBITDAR</t>
  </si>
  <si>
    <t xml:space="preserve">EBITDA / interest</t>
  </si>
  <si>
    <t xml:space="preserve">DSCR</t>
  </si>
  <si>
    <t xml:space="preserve">Current ratio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</si>
</sst>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@"/>
    <numFmt numFmtId="166" formatCode="#,##0"/>
    <numFmt numFmtId="167" formatCode="0.0%"/>
    <numFmt numFmtId="168" formatCode="General"/>
    <numFmt numFmtId="169" formatCode="\✓;\ ;\✗"/>
    <numFmt numFmtId="170" formatCode="#,##0;\(#,##0\);\-"/>
    <numFmt numFmtId="171" formatCode="0.00%;\(0.00%\);0.00%"/>
    <numFmt numFmtId="172" formatCode="0.00\x;\(0.00&quot;x)&quot;;\-"/>
  </numFmts>
  <fonts count="13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666666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i val="true"/>
      <sz val="10"/>
      <color rgb="FF44546A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EEF1F5"/>
      </patternFill>
    </fill>
    <fill>
      <patternFill patternType="solid">
        <fgColor rgb="FFFFFF00"/>
        <bgColor rgb="FFFFFF00"/>
      </patternFill>
    </fill>
    <fill>
      <patternFill patternType="solid">
        <fgColor rgb="FFDDE3EA"/>
        <bgColor rgb="FFD9D9D9"/>
      </patternFill>
    </fill>
    <fill>
      <patternFill patternType="solid">
        <fgColor rgb="FFEEF1F5"/>
        <bgColor rgb="FFFFFFFF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/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 diagonalUp="false" diagonalDown="false">
      <left style="thin">
        <color rgb="FFAAAAAA"/>
      </left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/>
      <diagonal/>
    </border>
    <border diagonalUp="false" diagonalDown="false">
      <left/>
      <right style="thin">
        <color rgb="FFAAAAAA"/>
      </right>
      <top/>
      <bottom/>
      <diagonal/>
    </border>
    <border diagonalUp="false" diagonalDown="false">
      <left style="thin">
        <color rgb="FFAAAAAA"/>
      </left>
      <right/>
      <top/>
      <bottom style="thin">
        <color rgb="FFB7B7B7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B7B7B7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B7B7B7"/>
      </top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hair">
        <color rgb="FFD9D9D9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hair">
        <color rgb="FFD9D9D9"/>
      </bottom>
      <diagonal/>
    </border>
    <border diagonalUp="false" diagonalDown="false">
      <left/>
      <right/>
      <top/>
      <bottom style="hair">
        <color rgb="FFD9D9D9"/>
      </bottom>
      <diagonal/>
    </border>
    <border diagonalUp="false" diagonalDown="false">
      <left/>
      <right style="thin">
        <color rgb="FFAAAAAA"/>
      </right>
      <top style="thin">
        <color rgb="FFAAAAAA"/>
      </top>
      <bottom style="hair">
        <color rgb="FFD9D9D9"/>
      </bottom>
      <diagonal/>
    </border>
    <border diagonalUp="false" diagonalDown="false">
      <left style="thin">
        <color rgb="FFAAAAAA"/>
      </left>
      <right style="thin">
        <color rgb="FFAAAAAA"/>
      </right>
      <top style="hair">
        <color rgb="FFD9D9D9"/>
      </top>
      <bottom style="hair">
        <color rgb="FFD9D9D9"/>
      </bottom>
      <diagonal/>
    </border>
    <border diagonalUp="false" diagonalDown="false">
      <left style="thin">
        <color rgb="FFAAAAAA"/>
      </left>
      <right/>
      <top style="hair">
        <color rgb="FFD9D9D9"/>
      </top>
      <bottom style="hair">
        <color rgb="FFD9D9D9"/>
      </bottom>
      <diagonal/>
    </border>
    <border diagonalUp="false" diagonalDown="false">
      <left/>
      <right/>
      <top style="hair">
        <color rgb="FFD9D9D9"/>
      </top>
      <bottom style="hair">
        <color rgb="FFD9D9D9"/>
      </bottom>
      <diagonal/>
    </border>
    <border diagonalUp="false" diagonalDown="false">
      <left/>
      <right style="thin">
        <color rgb="FFAAAAAA"/>
      </right>
      <top style="hair">
        <color rgb="FFD9D9D9"/>
      </top>
      <bottom style="hair">
        <color rgb="FFD9D9D9"/>
      </bottom>
      <diagonal/>
    </border>
    <border diagonalUp="false" diagonalDown="false">
      <left style="thin">
        <color rgb="FFAAAAAA"/>
      </left>
      <right style="thin">
        <color rgb="FFAAAAAA"/>
      </right>
      <top style="hair">
        <color rgb="FFD9D9D9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hair">
        <color rgb="FFD9D9D9"/>
      </top>
      <bottom/>
      <diagonal/>
    </border>
    <border diagonalUp="false" diagonalDown="false">
      <left style="thin">
        <color rgb="FFAAAAAA"/>
      </left>
      <right/>
      <top style="thin">
        <color rgb="FFB7B7B7"/>
      </top>
      <bottom style="thin">
        <color rgb="FFAAAAAA"/>
      </bottom>
      <diagonal/>
    </border>
    <border diagonalUp="false" diagonalDown="false">
      <left/>
      <right/>
      <top style="thin">
        <color rgb="FFB7B7B7"/>
      </top>
      <bottom/>
      <diagonal/>
    </border>
    <border diagonalUp="false" diagonalDown="false">
      <left/>
      <right style="thin">
        <color rgb="FFAAAAAA"/>
      </right>
      <top style="thin">
        <color rgb="FFB7B7B7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3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7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2" borderId="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3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3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2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3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EEF1F5"/>
      <rgbColor rgb="FFDDE3EA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333300"/>
      <rgbColor rgb="FF993300"/>
      <rgbColor rgb="FF993366"/>
      <rgbColor rgb="FF44546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sec.gov/Archives/edgar/data/927066/000092706626000012/R3.htm" TargetMode="Externa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www.sec.gov/Archives/edgar/data/927066/000092706626000012/R5.htm" TargetMode="Externa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www.sec.gov/Archives/edgar/data/927066/000092706626000012/R7.htm" TargetMode="Externa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6"/>
    <col collapsed="false" customWidth="true" hidden="false" outlineLevel="0" max="26" min="7" style="0" width="8.86"/>
  </cols>
  <sheetData>
    <row r="1" customFormat="false" ht="18" hidden="false" customHeight="true" outlineLevel="0" collapsed="false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3.5" hidden="false" customHeight="true" outlineLevel="0" collapsed="false">
      <c r="A2" s="2"/>
      <c r="B2" s="4"/>
      <c r="C2" s="2"/>
      <c r="D2" s="2"/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3.5" hidden="false" customHeight="true" outlineLevel="0" collapsed="false">
      <c r="A3" s="5" t="s">
        <v>1</v>
      </c>
      <c r="B3" s="6" t="n">
        <v>1000</v>
      </c>
      <c r="C3" s="7" t="s">
        <v>2</v>
      </c>
      <c r="D3" s="7"/>
      <c r="E3" s="7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3.5" hidden="false" customHeight="true" outlineLevel="0" collapsed="false">
      <c r="A4" s="8" t="s">
        <v>3</v>
      </c>
      <c r="B4" s="9" t="n">
        <v>0.01</v>
      </c>
      <c r="C4" s="2"/>
      <c r="D4" s="2"/>
      <c r="E4" s="2"/>
      <c r="F4" s="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3.5" hidden="false" customHeight="true" outlineLevel="0" collapsed="false">
      <c r="A5" s="8" t="s">
        <v>4</v>
      </c>
      <c r="B5" s="10" t="s">
        <v>5</v>
      </c>
      <c r="C5" s="2"/>
      <c r="D5" s="2"/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3.5" hidden="false" customHeight="true" outlineLevel="0" collapsed="false">
      <c r="A6" s="8" t="s">
        <v>6</v>
      </c>
      <c r="B6" s="10" t="s">
        <v>7</v>
      </c>
      <c r="C6" s="2"/>
      <c r="D6" s="2"/>
      <c r="E6" s="2"/>
      <c r="F6" s="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3.5" hidden="false" customHeight="true" outlineLevel="0" collapsed="false">
      <c r="A7" s="2"/>
      <c r="B7" s="2"/>
      <c r="C7" s="2"/>
      <c r="D7" s="2"/>
      <c r="E7" s="2"/>
      <c r="F7" s="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57.75" hidden="false" customHeight="true" outlineLevel="0" collapsed="false">
      <c r="A8" s="8" t="s">
        <v>8</v>
      </c>
      <c r="B8" s="11" t="s">
        <v>9</v>
      </c>
      <c r="C8" s="11"/>
      <c r="D8" s="11"/>
      <c r="E8" s="11"/>
      <c r="F8" s="11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31.5" hidden="false" customHeight="true" outlineLevel="0" collapsed="false">
      <c r="A9" s="8" t="s">
        <v>10</v>
      </c>
      <c r="B9" s="11" t="s">
        <v>11</v>
      </c>
      <c r="C9" s="11"/>
      <c r="D9" s="11"/>
      <c r="E9" s="11"/>
      <c r="F9" s="11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3.5" hidden="false" customHeight="true" outlineLevel="0" collapsed="false">
      <c r="A10" s="4"/>
      <c r="B10" s="4"/>
      <c r="C10" s="4"/>
      <c r="D10" s="4"/>
      <c r="E10" s="2"/>
      <c r="F10" s="2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3.5" hidden="false" customHeight="true" outlineLevel="0" collapsed="false">
      <c r="A11" s="12" t="s">
        <v>12</v>
      </c>
      <c r="B11" s="13" t="s">
        <v>13</v>
      </c>
      <c r="C11" s="13" t="s">
        <v>14</v>
      </c>
      <c r="D11" s="13" t="s">
        <v>15</v>
      </c>
      <c r="E11" s="14"/>
      <c r="F11" s="2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3.5" hidden="false" customHeight="true" outlineLevel="0" collapsed="false">
      <c r="A12" s="15" t="s">
        <v>16</v>
      </c>
      <c r="B12" s="16" t="n">
        <f aca="false" t="array" ref="B12:B12">COUNT('Income statement'!D6:D34)+COUNT('Income statement'!H6:H34)</f>
        <v>48</v>
      </c>
      <c r="C12" s="17" t="n">
        <f aca="false" t="array" ref="C12:C12">SUM('Income statement'!F6:F34)+SUM('Income statement'!J6:J34)</f>
        <v>48</v>
      </c>
      <c r="D12" s="18" t="n">
        <f aca="false" t="array" ref="D12:D12">IF(B12=0,"",C12/B12)</f>
        <v>1</v>
      </c>
      <c r="E12" s="2"/>
      <c r="F12" s="2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3.5" hidden="false" customHeight="true" outlineLevel="0" collapsed="false">
      <c r="A13" s="19" t="s">
        <v>17</v>
      </c>
      <c r="B13" s="20" t="n">
        <f aca="false" t="array" ref="B13:B13">COUNT('Balance sheet'!D6:D50)+COUNT('Balance sheet'!H6:H50)</f>
        <v>82</v>
      </c>
      <c r="C13" s="21" t="n">
        <f aca="false" t="array" ref="C13:C13">SUM('Balance sheet'!F6:F50)+SUM('Balance sheet'!J6:J50)</f>
        <v>82</v>
      </c>
      <c r="D13" s="22" t="n">
        <f aca="false" t="array" ref="D13:D13">IF(B13=0,"",C13/B13)</f>
        <v>1</v>
      </c>
      <c r="E13" s="2"/>
      <c r="F13" s="2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3.5" hidden="false" customHeight="true" outlineLevel="0" collapsed="false">
      <c r="A14" s="19" t="s">
        <v>18</v>
      </c>
      <c r="B14" s="20" t="n">
        <f aca="false" t="array" ref="B14:B14">COUNT('Cash flow'!D6:D55)+COUNT('Cash flow'!H6:H55)</f>
        <v>90</v>
      </c>
      <c r="C14" s="21" t="n">
        <f aca="false" t="array" ref="C14:C14">SUM('Cash flow'!F6:F55)+SUM('Cash flow'!J6:J55)</f>
        <v>90</v>
      </c>
      <c r="D14" s="22" t="n">
        <f aca="false" t="array" ref="D14:D14">IF(B14=0,"",C14/B14)</f>
        <v>1</v>
      </c>
      <c r="E14" s="2"/>
      <c r="F14" s="2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3.5" hidden="false" customHeight="true" outlineLevel="0" collapsed="false">
      <c r="A15" s="19" t="s">
        <v>19</v>
      </c>
      <c r="B15" s="20" t="n">
        <f aca="false" t="array" ref="B15:B15">COUNT(Notes!D6:D9)+COUNT(Notes!H6:H9)</f>
        <v>0</v>
      </c>
      <c r="C15" s="20" t="n">
        <f aca="false" t="array" ref="C15:C15">SUM(Notes!F6:F9)+SUM(Notes!J6:J9)</f>
        <v>0</v>
      </c>
      <c r="D15" s="23" t="str">
        <f aca="false" t="array" ref="D15:D15">IF(B15=0,"",C15/B15)</f>
        <v/>
      </c>
      <c r="E15" s="2"/>
      <c r="F15" s="2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3.5" hidden="false" customHeight="true" outlineLevel="0" collapsed="false">
      <c r="A16" s="24" t="s">
        <v>20</v>
      </c>
      <c r="B16" s="25" t="n">
        <f aca="false" t="array" ref="B16:B16">SUM(B12:B15)</f>
        <v>220</v>
      </c>
      <c r="C16" s="26" t="n">
        <f aca="false" t="array" ref="C16:C16">SUM(C12:C15)</f>
        <v>220</v>
      </c>
      <c r="D16" s="27" t="n">
        <f aca="false" t="array" ref="D16:D16">IF(B16=0,"",C16/B16)</f>
        <v>1</v>
      </c>
      <c r="E16" s="2"/>
      <c r="F16" s="2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.7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.7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.7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C3:F3"/>
    <mergeCell ref="B8:F8"/>
    <mergeCell ref="B9:F9"/>
  </mergeCells>
  <printOptions headings="false" gridLines="false" gridLinesSet="true" horizontalCentered="false" verticalCentered="false"/>
  <pageMargins left="0.75" right="0.75" top="1" bottom="1" header="0.511811023622047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4"/>
    <col collapsed="false" customWidth="true" hidden="false" outlineLevel="0" max="4" min="3" style="0" width="13"/>
    <col collapsed="false" customWidth="true" hidden="false" outlineLevel="0" max="5" min="5" style="0" width="9"/>
    <col collapsed="false" customWidth="true" hidden="false" outlineLevel="0" max="6" min="6" style="0" width="5"/>
    <col collapsed="false" customWidth="true" hidden="false" outlineLevel="0" max="8" min="7" style="0" width="13"/>
    <col collapsed="false" customWidth="true" hidden="false" outlineLevel="0" max="9" min="9" style="0" width="9"/>
    <col collapsed="false" customWidth="true" hidden="false" outlineLevel="0" max="10" min="10" style="0" width="5"/>
    <col collapsed="false" customWidth="true" hidden="false" outlineLevel="0" max="11" min="11" style="0" width="24"/>
    <col collapsed="false" customWidth="true" hidden="false" outlineLevel="0" max="12" min="12" style="0" width="22"/>
    <col collapsed="false" customWidth="true" hidden="true" outlineLevel="0" max="13" min="13" style="0" width="8.86"/>
    <col collapsed="false" customWidth="true" hidden="false" outlineLevel="0" max="26" min="14" style="0" width="8.86"/>
  </cols>
  <sheetData>
    <row r="1" customFormat="false" ht="18" hidden="false" customHeight="true" outlineLevel="0" collapsed="false">
      <c r="A1" s="1" t="s">
        <v>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3.5" hidden="false" customHeight="true" outlineLevel="0" collapsed="false">
      <c r="A2" s="28" t="s">
        <v>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3.5" hidden="false" customHeight="true" outlineLevel="0" collapsed="false">
      <c r="A3" s="29" t="s">
        <v>23</v>
      </c>
      <c r="B3" s="2"/>
      <c r="C3" s="4"/>
      <c r="D3" s="2"/>
      <c r="E3" s="2"/>
      <c r="F3" s="2"/>
      <c r="G3" s="4"/>
      <c r="H3" s="2"/>
      <c r="I3" s="2"/>
      <c r="J3" s="2"/>
      <c r="K3" s="2"/>
      <c r="L3" s="2"/>
      <c r="M3" s="2"/>
      <c r="N3" s="2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3.5" hidden="false" customHeight="true" outlineLevel="0" collapsed="false">
      <c r="A4" s="4"/>
      <c r="B4" s="30"/>
      <c r="C4" s="31" t="s">
        <v>24</v>
      </c>
      <c r="D4" s="31"/>
      <c r="E4" s="31"/>
      <c r="F4" s="31"/>
      <c r="G4" s="32" t="s">
        <v>25</v>
      </c>
      <c r="H4" s="32"/>
      <c r="I4" s="32"/>
      <c r="J4" s="32"/>
      <c r="K4" s="4"/>
      <c r="L4" s="4"/>
      <c r="M4" s="4"/>
      <c r="N4" s="2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3.5" hidden="false" customHeight="true" outlineLevel="0" collapsed="false">
      <c r="A5" s="33" t="s">
        <v>26</v>
      </c>
      <c r="B5" s="34" t="s">
        <v>27</v>
      </c>
      <c r="C5" s="34" t="s">
        <v>28</v>
      </c>
      <c r="D5" s="34" t="s">
        <v>6</v>
      </c>
      <c r="E5" s="34" t="s">
        <v>29</v>
      </c>
      <c r="F5" s="34" t="s">
        <v>30</v>
      </c>
      <c r="G5" s="34" t="s">
        <v>28</v>
      </c>
      <c r="H5" s="34" t="s">
        <v>6</v>
      </c>
      <c r="I5" s="34" t="s">
        <v>29</v>
      </c>
      <c r="J5" s="34" t="s">
        <v>30</v>
      </c>
      <c r="K5" s="34" t="s">
        <v>31</v>
      </c>
      <c r="L5" s="34" t="s">
        <v>32</v>
      </c>
      <c r="M5" s="34" t="s">
        <v>33</v>
      </c>
      <c r="N5" s="14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3.5" hidden="false" customHeight="true" outlineLevel="0" collapsed="false">
      <c r="A6" s="35" t="s">
        <v>34</v>
      </c>
      <c r="B6" s="36"/>
      <c r="C6" s="36"/>
      <c r="D6" s="37"/>
      <c r="E6" s="36"/>
      <c r="F6" s="36"/>
      <c r="G6" s="36"/>
      <c r="H6" s="37"/>
      <c r="I6" s="36"/>
      <c r="J6" s="36"/>
      <c r="K6" s="37"/>
      <c r="L6" s="36"/>
      <c r="M6" s="36"/>
      <c r="N6" s="2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3.5" hidden="false" customHeight="true" outlineLevel="0" collapsed="false">
      <c r="A7" s="38" t="s">
        <v>35</v>
      </c>
      <c r="B7" s="39" t="s">
        <v>36</v>
      </c>
      <c r="C7" s="40" t="n">
        <f aca="false" t="array" ref="C7:C7">12260375000/Summary!$B$3</f>
        <v>12260375</v>
      </c>
      <c r="D7" s="41" t="n">
        <v>12260375</v>
      </c>
      <c r="E7" s="42" t="n">
        <f aca="false" t="array" ref="E7:E7">IF(OR(D7="",C7=""),"",IF(D7=0,IF(C7=0,0,1),(C7-D7)/ABS(D7)))</f>
        <v>0</v>
      </c>
      <c r="F7" s="43" t="n">
        <f aca="false" t="array" ref="F7:F7">IF(E7="","",IF(ABS(E7)&lt;=Summary!$B$4,1,0))</f>
        <v>1</v>
      </c>
      <c r="G7" s="40" t="n">
        <f aca="false" t="array" ref="G7:G7">13007186000/Summary!$B$3</f>
        <v>13007186</v>
      </c>
      <c r="H7" s="41" t="n">
        <v>13007186</v>
      </c>
      <c r="I7" s="42" t="n">
        <f aca="false" t="array" ref="I7:I7">IF(OR(H7="",G7=""),"",IF(H7=0,IF(G7=0,0,1),(G7-H7)/ABS(H7)))</f>
        <v>0</v>
      </c>
      <c r="J7" s="44" t="n">
        <f aca="false" t="array" ref="J7:J7">IF(I7="","",IF(ABS(I7)&lt;=Summary!$B$4,1,0))</f>
        <v>1</v>
      </c>
      <c r="K7" s="45"/>
      <c r="L7" s="46"/>
      <c r="M7" s="28" t="s">
        <v>37</v>
      </c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3.5" hidden="false" customHeight="true" outlineLevel="0" collapsed="false">
      <c r="A8" s="47" t="s">
        <v>38</v>
      </c>
      <c r="B8" s="48" t="s">
        <v>39</v>
      </c>
      <c r="C8" s="49" t="n">
        <f aca="false" t="array" ref="C8:C8">555175000/Summary!$B$3</f>
        <v>555175</v>
      </c>
      <c r="D8" s="50" t="n">
        <v>555175</v>
      </c>
      <c r="E8" s="51" t="n">
        <f aca="false" t="array" ref="E8:E8">IF(OR(D8="",C8=""),"",IF(D8=0,IF(C8=0,0,1),(C8-D8)/ABS(D8)))</f>
        <v>0</v>
      </c>
      <c r="F8" s="52" t="n">
        <f aca="false" t="array" ref="F8:F8">IF(E8="","",IF(ABS(E8)&lt;=Summary!$B$4,1,0))</f>
        <v>1</v>
      </c>
      <c r="G8" s="49" t="n">
        <f aca="false" t="array" ref="G8:G8">635883000/Summary!$B$3</f>
        <v>635883</v>
      </c>
      <c r="H8" s="50" t="n">
        <v>635883</v>
      </c>
      <c r="I8" s="51" t="n">
        <f aca="false" t="array" ref="I8:I8">IF(OR(H8="",G8=""),"",IF(H8=0,IF(G8=0,0,1),(G8-H8)/ABS(H8)))</f>
        <v>0</v>
      </c>
      <c r="J8" s="53" t="n">
        <f aca="false" t="array" ref="J8:J8">IF(I8="","",IF(ABS(I8)&lt;=Summary!$B$4,1,0))</f>
        <v>1</v>
      </c>
      <c r="K8" s="54"/>
      <c r="L8" s="55"/>
      <c r="M8" s="28" t="s">
        <v>40</v>
      </c>
      <c r="N8" s="2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3.5" hidden="false" customHeight="true" outlineLevel="0" collapsed="false">
      <c r="A9" s="56" t="s">
        <v>41</v>
      </c>
      <c r="B9" s="48" t="s">
        <v>42</v>
      </c>
      <c r="C9" s="49" t="n">
        <f aca="false" t="array" ref="C9:C9">12815550000/Summary!$B$3</f>
        <v>12815550</v>
      </c>
      <c r="D9" s="50" t="n">
        <f aca="false" t="array" ref="D9:D9">D7+D8</f>
        <v>12815550</v>
      </c>
      <c r="E9" s="51" t="n">
        <f aca="false" t="array" ref="E9:E9">IF(OR(D9="",C9=""),"",IF(D9=0,IF(C9=0,0,1),(C9-D9)/ABS(D9)))</f>
        <v>0</v>
      </c>
      <c r="F9" s="52" t="n">
        <f aca="false" t="array" ref="F9:F9">IF(E9="","",IF(ABS(E9)&lt;=Summary!$B$4,1,0))</f>
        <v>1</v>
      </c>
      <c r="G9" s="49" t="n">
        <f aca="false" t="array" ref="G9:G9">13643069000/Summary!$B$3</f>
        <v>13643069</v>
      </c>
      <c r="H9" s="50" t="n">
        <f aca="false" t="array" ref="H9:H9">H7+H8</f>
        <v>13643069</v>
      </c>
      <c r="I9" s="51" t="n">
        <f aca="false" t="array" ref="I9:I9">IF(OR(H9="",G9=""),"",IF(H9=0,IF(G9=0,0,1),(G9-H9)/ABS(H9)))</f>
        <v>0</v>
      </c>
      <c r="J9" s="53" t="n">
        <f aca="false" t="array" ref="J9:J9">IF(I9="","",IF(ABS(I9)&lt;=Summary!$B$4,1,0))</f>
        <v>1</v>
      </c>
      <c r="K9" s="54"/>
      <c r="L9" s="55"/>
      <c r="M9" s="28" t="s">
        <v>43</v>
      </c>
      <c r="N9" s="2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3.5" hidden="false" customHeight="true" outlineLevel="0" collapsed="false">
      <c r="A10" s="57" t="s">
        <v>44</v>
      </c>
      <c r="B10" s="58"/>
      <c r="C10" s="58"/>
      <c r="D10" s="59"/>
      <c r="E10" s="58"/>
      <c r="F10" s="58"/>
      <c r="G10" s="58"/>
      <c r="H10" s="59"/>
      <c r="I10" s="58"/>
      <c r="J10" s="58"/>
      <c r="K10" s="59"/>
      <c r="L10" s="58"/>
      <c r="M10" s="2"/>
      <c r="N10" s="2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3.5" hidden="false" customHeight="true" outlineLevel="0" collapsed="false">
      <c r="A11" s="38" t="s">
        <v>45</v>
      </c>
      <c r="B11" s="39" t="s">
        <v>46</v>
      </c>
      <c r="C11" s="40" t="n">
        <f aca="false" t="array" ref="C11:C11">8598521000/Summary!$B$3</f>
        <v>8598521</v>
      </c>
      <c r="D11" s="41" t="n">
        <v>8598521</v>
      </c>
      <c r="E11" s="42" t="n">
        <f aca="false" t="array" ref="E11:E11">IF(OR(D11="",C11=""),"",IF(D11=0,IF(C11=0,0,1),(C11-D11)/ABS(D11)))</f>
        <v>0</v>
      </c>
      <c r="F11" s="43" t="n">
        <f aca="false" t="array" ref="F11:F11">IF(E11="","",IF(ABS(E11)&lt;=Summary!$B$4,1,0))</f>
        <v>1</v>
      </c>
      <c r="G11" s="40" t="n">
        <f aca="false" t="array" ref="G11:G11">9243476000/Summary!$B$3</f>
        <v>9243476</v>
      </c>
      <c r="H11" s="41" t="n">
        <v>9243476</v>
      </c>
      <c r="I11" s="42" t="n">
        <f aca="false" t="array" ref="I11:I11">IF(OR(H11="",G11=""),"",IF(H11=0,IF(G11=0,0,1),(G11-H11)/ABS(H11)))</f>
        <v>0</v>
      </c>
      <c r="J11" s="44" t="n">
        <f aca="false" t="array" ref="J11:J11">IF(I11="","",IF(ABS(I11)&lt;=Summary!$B$4,1,0))</f>
        <v>1</v>
      </c>
      <c r="K11" s="45"/>
      <c r="L11" s="46"/>
      <c r="M11" s="28" t="s">
        <v>47</v>
      </c>
      <c r="N11" s="2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3.5" hidden="false" customHeight="true" outlineLevel="0" collapsed="false">
      <c r="A12" s="47" t="s">
        <v>48</v>
      </c>
      <c r="B12" s="48" t="s">
        <v>49</v>
      </c>
      <c r="C12" s="49" t="n">
        <f aca="false" t="array" ref="C12:C12">1538341000/Summary!$B$3</f>
        <v>1538341</v>
      </c>
      <c r="D12" s="50" t="n">
        <v>1538341</v>
      </c>
      <c r="E12" s="51" t="n">
        <f aca="false" t="array" ref="E12:E12">IF(OR(D12="",C12=""),"",IF(D12=0,IF(C12=0,0,1),(C12-D12)/ABS(D12)))</f>
        <v>0</v>
      </c>
      <c r="F12" s="52" t="n">
        <f aca="false" t="array" ref="F12:F12">IF(E12="","",IF(ABS(E12)&lt;=Summary!$B$4,1,0))</f>
        <v>1</v>
      </c>
      <c r="G12" s="49" t="n">
        <f aca="false" t="array" ref="G12:G12">1673630000/Summary!$B$3</f>
        <v>1673630</v>
      </c>
      <c r="H12" s="50" t="n">
        <v>1673630</v>
      </c>
      <c r="I12" s="51" t="n">
        <f aca="false" t="array" ref="I12:I12">IF(OR(H12="",G12=""),"",IF(H12=0,IF(G12=0,0,1),(G12-H12)/ABS(H12)))</f>
        <v>0</v>
      </c>
      <c r="J12" s="53" t="n">
        <f aca="false" t="array" ref="J12:J12">IF(I12="","",IF(ABS(I12)&lt;=Summary!$B$4,1,0))</f>
        <v>1</v>
      </c>
      <c r="K12" s="54"/>
      <c r="L12" s="55"/>
      <c r="M12" s="28" t="s">
        <v>50</v>
      </c>
      <c r="N12" s="2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3.5" hidden="false" customHeight="true" outlineLevel="0" collapsed="false">
      <c r="A13" s="47" t="s">
        <v>51</v>
      </c>
      <c r="B13" s="48" t="s">
        <v>52</v>
      </c>
      <c r="C13" s="49" t="n">
        <f aca="false" t="array" ref="C13:C13">723860000/Summary!$B$3</f>
        <v>723860</v>
      </c>
      <c r="D13" s="50" t="n">
        <v>723860</v>
      </c>
      <c r="E13" s="51" t="n">
        <f aca="false" t="array" ref="E13:E13">IF(OR(D13="",C13=""),"",IF(D13=0,IF(C13=0,0,1),(C13-D13)/ABS(D13)))</f>
        <v>0</v>
      </c>
      <c r="F13" s="52" t="n">
        <f aca="false" t="array" ref="F13:F13">IF(E13="","",IF(ABS(E13)&lt;=Summary!$B$4,1,0))</f>
        <v>1</v>
      </c>
      <c r="G13" s="49" t="n">
        <f aca="false" t="array" ref="G13:G13">715348000/Summary!$B$3</f>
        <v>715348</v>
      </c>
      <c r="H13" s="50" t="n">
        <v>715348</v>
      </c>
      <c r="I13" s="51" t="n">
        <f aca="false" t="array" ref="I13:I13">IF(OR(H13="",G13=""),"",IF(H13=0,IF(G13=0,0,1),(G13-H13)/ABS(H13)))</f>
        <v>0</v>
      </c>
      <c r="J13" s="53" t="n">
        <f aca="false" t="array" ref="J13:J13">IF(I13="","",IF(ABS(I13)&lt;=Summary!$B$4,1,0))</f>
        <v>1</v>
      </c>
      <c r="K13" s="54"/>
      <c r="L13" s="55"/>
      <c r="M13" s="28" t="s">
        <v>53</v>
      </c>
      <c r="N13" s="2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3.5" hidden="false" customHeight="true" outlineLevel="0" collapsed="false">
      <c r="A14" s="47" t="s">
        <v>54</v>
      </c>
      <c r="B14" s="48" t="s">
        <v>55</v>
      </c>
      <c r="C14" s="49" t="n">
        <f aca="false" t="array" ref="C14:C14">-26189000/Summary!$B$3</f>
        <v>-26189</v>
      </c>
      <c r="D14" s="50" t="n">
        <v>-26189</v>
      </c>
      <c r="E14" s="51" t="n">
        <f aca="false" t="array" ref="E14:E14">IF(OR(D14="",C14=""),"",IF(D14=0,IF(C14=0,0,1),(C14-D14)/ABS(D14)))</f>
        <v>0</v>
      </c>
      <c r="F14" s="52" t="n">
        <f aca="false" t="array" ref="F14:F14">IF(E14="","",IF(ABS(E14)&lt;=Summary!$B$4,1,0))</f>
        <v>1</v>
      </c>
      <c r="G14" s="49" t="n">
        <f aca="false" t="array" ref="G14:G14">-33000000/Summary!$B$3</f>
        <v>-33000</v>
      </c>
      <c r="H14" s="50" t="n">
        <v>-33000</v>
      </c>
      <c r="I14" s="51" t="n">
        <f aca="false" t="array" ref="I14:I14">IF(OR(H14="",G14=""),"",IF(H14=0,IF(G14=0,0,1),(G14-H14)/ABS(H14)))</f>
        <v>0</v>
      </c>
      <c r="J14" s="53" t="n">
        <f aca="false" t="array" ref="J14:J14">IF(I14="","",IF(ABS(I14)&lt;=Summary!$B$4,1,0))</f>
        <v>1</v>
      </c>
      <c r="K14" s="54"/>
      <c r="L14" s="55"/>
      <c r="M14" s="28" t="s">
        <v>56</v>
      </c>
      <c r="N14" s="2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3.5" hidden="false" customHeight="true" outlineLevel="0" collapsed="false">
      <c r="A15" s="47" t="s">
        <v>57</v>
      </c>
      <c r="B15" s="48" t="s">
        <v>58</v>
      </c>
      <c r="C15" s="49" t="n">
        <f aca="false" t="array" ref="C15:C15">0/Summary!$B$3</f>
        <v>0</v>
      </c>
      <c r="D15" s="50" t="n">
        <v>0</v>
      </c>
      <c r="E15" s="51" t="n">
        <f aca="false" t="array" ref="E15:E15">IF(OR(D15="",C15=""),"",IF(D15=0,IF(C15=0,0,1),(C15-D15)/ABS(D15)))</f>
        <v>0</v>
      </c>
      <c r="F15" s="52" t="n">
        <f aca="false" t="array" ref="F15:F15">IF(E15="","",IF(ABS(E15)&lt;=Summary!$B$4,1,0))</f>
        <v>1</v>
      </c>
      <c r="G15" s="49" t="n">
        <f aca="false" t="array" ref="G15:G15">0/Summary!$B$3</f>
        <v>0</v>
      </c>
      <c r="H15" s="50" t="n">
        <v>0</v>
      </c>
      <c r="I15" s="51" t="n">
        <f aca="false" t="array" ref="I15:I15">IF(OR(H15="",G15=""),"",IF(H15=0,IF(G15=0,0,1),(G15-H15)/ABS(H15)))</f>
        <v>0</v>
      </c>
      <c r="J15" s="53" t="n">
        <f aca="false" t="array" ref="J15:J15">IF(I15="","",IF(ABS(I15)&lt;=Summary!$B$4,1,0))</f>
        <v>1</v>
      </c>
      <c r="K15" s="54"/>
      <c r="L15" s="55"/>
      <c r="M15" s="28" t="s">
        <v>59</v>
      </c>
      <c r="N15" s="2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3.5" hidden="false" customHeight="true" outlineLevel="0" collapsed="false">
      <c r="A16" s="47" t="s">
        <v>60</v>
      </c>
      <c r="B16" s="48" t="s">
        <v>61</v>
      </c>
      <c r="C16" s="49" t="n">
        <f aca="false" t="array" ref="C16:C16">-109466000/Summary!$B$3</f>
        <v>-109466</v>
      </c>
      <c r="D16" s="50" t="n">
        <v>-109466</v>
      </c>
      <c r="E16" s="51" t="n">
        <f aca="false" t="array" ref="E16:E16">IF(OR(D16="",C16=""),"",IF(D16=0,IF(C16=0,0,1),(C16-D16)/ABS(D16)))</f>
        <v>0</v>
      </c>
      <c r="F16" s="52" t="n">
        <f aca="false" t="array" ref="F16:F16">IF(E16="","",IF(ABS(E16)&lt;=Summary!$B$4,1,0))</f>
        <v>1</v>
      </c>
      <c r="G16" s="49" t="n">
        <f aca="false" t="array" ref="G16:G16">0/Summary!$B$3</f>
        <v>0</v>
      </c>
      <c r="H16" s="50" t="n">
        <v>0</v>
      </c>
      <c r="I16" s="51" t="n">
        <f aca="false" t="array" ref="I16:I16">IF(OR(H16="",G16=""),"",IF(H16=0,IF(G16=0,0,1),(G16-H16)/ABS(H16)))</f>
        <v>0</v>
      </c>
      <c r="J16" s="53" t="n">
        <f aca="false" t="array" ref="J16:J16">IF(I16="","",IF(ABS(I16)&lt;=Summary!$B$4,1,0))</f>
        <v>1</v>
      </c>
      <c r="K16" s="54"/>
      <c r="L16" s="55"/>
      <c r="M16" s="28" t="s">
        <v>62</v>
      </c>
      <c r="N16" s="2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3.5" hidden="false" customHeight="true" outlineLevel="0" collapsed="false">
      <c r="A17" s="56" t="s">
        <v>63</v>
      </c>
      <c r="B17" s="48" t="s">
        <v>64</v>
      </c>
      <c r="C17" s="49" t="n">
        <f aca="false" t="array" ref="C17:C17">10725067000/Summary!$B$3</f>
        <v>10725067</v>
      </c>
      <c r="D17" s="50" t="n">
        <f aca="false" t="array" ref="D17:D17">D11+D12+D13+D14+D16</f>
        <v>10725067</v>
      </c>
      <c r="E17" s="51" t="n">
        <f aca="false" t="array" ref="E17:E17">IF(OR(D17="",C17=""),"",IF(D17=0,IF(C17=0,0,1),(C17-D17)/ABS(D17)))</f>
        <v>0</v>
      </c>
      <c r="F17" s="52" t="n">
        <f aca="false" t="array" ref="F17:F17">IF(E17="","",IF(ABS(E17)&lt;=Summary!$B$4,1,0))</f>
        <v>1</v>
      </c>
      <c r="G17" s="49" t="n">
        <f aca="false" t="array" ref="G17:G17">11599454000/Summary!$B$3</f>
        <v>11599454</v>
      </c>
      <c r="H17" s="50" t="n">
        <f aca="false" t="array" ref="H17:H17">SUM(H11:H16)</f>
        <v>11599454</v>
      </c>
      <c r="I17" s="51" t="n">
        <f aca="false" t="array" ref="I17:I17">IF(OR(H17="",G17=""),"",IF(H17=0,IF(G17=0,0,1),(G17-H17)/ABS(H17)))</f>
        <v>0</v>
      </c>
      <c r="J17" s="53" t="n">
        <f aca="false" t="array" ref="J17:J17">IF(I17="","",IF(ABS(I17)&lt;=Summary!$B$4,1,0))</f>
        <v>1</v>
      </c>
      <c r="K17" s="54"/>
      <c r="L17" s="55"/>
      <c r="M17" s="28" t="s">
        <v>65</v>
      </c>
      <c r="N17" s="2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3.5" hidden="false" customHeight="true" outlineLevel="0" collapsed="false">
      <c r="A18" s="56" t="s">
        <v>66</v>
      </c>
      <c r="B18" s="48" t="s">
        <v>67</v>
      </c>
      <c r="C18" s="49" t="n">
        <f aca="false" t="array" ref="C18:C18">2090483000/Summary!$B$3</f>
        <v>2090483</v>
      </c>
      <c r="D18" s="50" t="n">
        <f aca="false" t="array" ref="D18:D18">D9-D17</f>
        <v>2090483</v>
      </c>
      <c r="E18" s="51" t="n">
        <f aca="false" t="array" ref="E18:E18">IF(OR(D18="",C18=""),"",IF(D18=0,IF(C18=0,0,1),(C18-D18)/ABS(D18)))</f>
        <v>0</v>
      </c>
      <c r="F18" s="52" t="n">
        <f aca="false" t="array" ref="F18:F18">IF(E18="","",IF(ABS(E18)&lt;=Summary!$B$4,1,0))</f>
        <v>1</v>
      </c>
      <c r="G18" s="49" t="n">
        <f aca="false" t="array" ref="G18:G18">2043615000/Summary!$B$3</f>
        <v>2043615</v>
      </c>
      <c r="H18" s="50" t="n">
        <f aca="false" t="array" ref="H18:H18">H9-H17</f>
        <v>2043615</v>
      </c>
      <c r="I18" s="51" t="n">
        <f aca="false" t="array" ref="I18:I18">IF(OR(H18="",G18=""),"",IF(H18=0,IF(G18=0,0,1),(G18-H18)/ABS(H18)))</f>
        <v>0</v>
      </c>
      <c r="J18" s="53" t="n">
        <f aca="false" t="array" ref="J18:J18">IF(I18="","",IF(ABS(I18)&lt;=Summary!$B$4,1,0))</f>
        <v>1</v>
      </c>
      <c r="K18" s="54"/>
      <c r="L18" s="55"/>
      <c r="M18" s="28" t="s">
        <v>68</v>
      </c>
      <c r="N18" s="2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3.5" hidden="false" customHeight="true" outlineLevel="0" collapsed="false">
      <c r="A19" s="47" t="s">
        <v>69</v>
      </c>
      <c r="B19" s="48" t="s">
        <v>70</v>
      </c>
      <c r="C19" s="49" t="n">
        <f aca="false" t="array" ref="C19:C19">-470469000/Summary!$B$3</f>
        <v>-470469</v>
      </c>
      <c r="D19" s="50" t="n">
        <v>-470469</v>
      </c>
      <c r="E19" s="51" t="n">
        <f aca="false" t="array" ref="E19:E19">IF(OR(D19="",C19=""),"",IF(D19=0,IF(C19=0,0,1),(C19-D19)/ABS(D19)))</f>
        <v>0</v>
      </c>
      <c r="F19" s="52" t="n">
        <f aca="false" t="array" ref="F19:F19">IF(E19="","",IF(ABS(E19)&lt;=Summary!$B$4,1,0))</f>
        <v>1</v>
      </c>
      <c r="G19" s="49" t="n">
        <f aca="false" t="array" ref="G19:G19">-579926000/Summary!$B$3</f>
        <v>-579926</v>
      </c>
      <c r="H19" s="50" t="n">
        <v>-579926</v>
      </c>
      <c r="I19" s="51" t="n">
        <f aca="false" t="array" ref="I19:I19">IF(OR(H19="",G19=""),"",IF(H19=0,IF(G19=0,0,1),(G19-H19)/ABS(H19)))</f>
        <v>0</v>
      </c>
      <c r="J19" s="53" t="n">
        <f aca="false" t="array" ref="J19:J19">IF(I19="","",IF(ABS(I19)&lt;=Summary!$B$4,1,0))</f>
        <v>1</v>
      </c>
      <c r="K19" s="54"/>
      <c r="L19" s="55"/>
      <c r="M19" s="28" t="s">
        <v>71</v>
      </c>
      <c r="N19" s="2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3.5" hidden="false" customHeight="true" outlineLevel="0" collapsed="false">
      <c r="A20" s="47" t="s">
        <v>72</v>
      </c>
      <c r="B20" s="48" t="s">
        <v>73</v>
      </c>
      <c r="C20" s="49" t="n">
        <f aca="false" t="array" ref="C20:C20">-19813000/Summary!$B$3</f>
        <v>-19813</v>
      </c>
      <c r="D20" s="50" t="n">
        <v>-19813</v>
      </c>
      <c r="E20" s="51" t="n">
        <f aca="false" t="array" ref="E20:E20">IF(OR(D20="",C20=""),"",IF(D20=0,IF(C20=0,0,1),(C20-D20)/ABS(D20)))</f>
        <v>0</v>
      </c>
      <c r="F20" s="52" t="n">
        <f aca="false" t="array" ref="F20:F20">IF(E20="","",IF(ABS(E20)&lt;=Summary!$B$4,1,0))</f>
        <v>1</v>
      </c>
      <c r="G20" s="49" t="n">
        <f aca="false" t="array" ref="G20:G20">-14178000/Summary!$B$3</f>
        <v>-14178</v>
      </c>
      <c r="H20" s="50" t="n">
        <v>-14178</v>
      </c>
      <c r="I20" s="51" t="n">
        <f aca="false" t="array" ref="I20:I20">IF(OR(H20="",G20=""),"",IF(H20=0,IF(G20=0,0,1),(G20-H20)/ABS(H20)))</f>
        <v>0</v>
      </c>
      <c r="J20" s="53" t="n">
        <f aca="false" t="array" ref="J20:J20">IF(I20="","",IF(ABS(I20)&lt;=Summary!$B$4,1,0))</f>
        <v>1</v>
      </c>
      <c r="K20" s="54"/>
      <c r="L20" s="55"/>
      <c r="M20" s="28" t="s">
        <v>74</v>
      </c>
      <c r="N20" s="2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3.5" hidden="false" customHeight="true" outlineLevel="0" collapsed="false">
      <c r="A21" s="47" t="s">
        <v>75</v>
      </c>
      <c r="B21" s="48" t="s">
        <v>76</v>
      </c>
      <c r="C21" s="49" t="n">
        <f aca="false" t="array" ref="C21:C21">-69808000/Summary!$B$3</f>
        <v>-69808</v>
      </c>
      <c r="D21" s="50" t="n">
        <v>-69808</v>
      </c>
      <c r="E21" s="51" t="n">
        <f aca="false" t="array" ref="E21:E21">IF(OR(D21="",C21=""),"",IF(D21=0,IF(C21=0,0,1),(C21-D21)/ABS(D21)))</f>
        <v>0</v>
      </c>
      <c r="F21" s="52" t="n">
        <f aca="false" t="array" ref="F21:F21">IF(E21="","",IF(ABS(E21)&lt;=Summary!$B$4,1,0))</f>
        <v>1</v>
      </c>
      <c r="G21" s="49" t="n">
        <f aca="false" t="array" ref="G21:G21">-102688000/Summary!$B$3</f>
        <v>-102688</v>
      </c>
      <c r="H21" s="50" t="n">
        <v>-102688</v>
      </c>
      <c r="I21" s="51" t="n">
        <f aca="false" t="array" ref="I21:I21">IF(OR(H21="",G21=""),"",IF(H21=0,IF(G21=0,0,1),(G21-H21)/ABS(H21)))</f>
        <v>0</v>
      </c>
      <c r="J21" s="53" t="n">
        <f aca="false" t="array" ref="J21:J21">IF(I21="","",IF(ABS(I21)&lt;=Summary!$B$4,1,0))</f>
        <v>1</v>
      </c>
      <c r="K21" s="54"/>
      <c r="L21" s="55"/>
      <c r="M21" s="28" t="s">
        <v>77</v>
      </c>
      <c r="N21" s="2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3.5" hidden="false" customHeight="true" outlineLevel="0" collapsed="false">
      <c r="A22" s="56" t="s">
        <v>78</v>
      </c>
      <c r="B22" s="48" t="s">
        <v>79</v>
      </c>
      <c r="C22" s="49" t="n">
        <f aca="false" t="array" ref="C22:C22">1530393000/Summary!$B$3</f>
        <v>1530393</v>
      </c>
      <c r="D22" s="50" t="n">
        <f aca="false" t="array" ref="D22:D22">D18+D19+D20+D21</f>
        <v>1530393</v>
      </c>
      <c r="E22" s="51" t="n">
        <f aca="false" t="array" ref="E22:E22">IF(OR(D22="",C22=""),"",IF(D22=0,IF(C22=0,0,1),(C22-D22)/ABS(D22)))</f>
        <v>0</v>
      </c>
      <c r="F22" s="52" t="n">
        <f aca="false" t="array" ref="F22:F22">IF(E22="","",IF(ABS(E22)&lt;=Summary!$B$4,1,0))</f>
        <v>1</v>
      </c>
      <c r="G22" s="49" t="n">
        <f aca="false" t="array" ref="G22:G22">1346823000/Summary!$B$3</f>
        <v>1346823</v>
      </c>
      <c r="H22" s="50" t="n">
        <f aca="false" t="array" ref="H22:H22">SUM(H18:H21)</f>
        <v>1346823</v>
      </c>
      <c r="I22" s="51" t="n">
        <f aca="false" t="array" ref="I22:I22">IF(OR(H22="",G22=""),"",IF(H22=0,IF(G22=0,0,1),(G22-H22)/ABS(H22)))</f>
        <v>0</v>
      </c>
      <c r="J22" s="53" t="n">
        <f aca="false" t="array" ref="J22:J22">IF(I22="","",IF(ABS(I22)&lt;=Summary!$B$4,1,0))</f>
        <v>1</v>
      </c>
      <c r="K22" s="54"/>
      <c r="L22" s="55"/>
      <c r="M22" s="28" t="s">
        <v>80</v>
      </c>
      <c r="N22" s="2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3.5" hidden="false" customHeight="true" outlineLevel="0" collapsed="false">
      <c r="A23" s="47" t="s">
        <v>81</v>
      </c>
      <c r="B23" s="48" t="s">
        <v>82</v>
      </c>
      <c r="C23" s="49" t="n">
        <f aca="false" t="array" ref="C23:C23">279656000/Summary!$B$3</f>
        <v>279656</v>
      </c>
      <c r="D23" s="50" t="n">
        <v>279656</v>
      </c>
      <c r="E23" s="51" t="n">
        <f aca="false" t="array" ref="E23:E23">IF(OR(D23="",C23=""),"",IF(D23=0,IF(C23=0,0,1),(C23-D23)/ABS(D23)))</f>
        <v>0</v>
      </c>
      <c r="F23" s="52" t="n">
        <f aca="false" t="array" ref="F23:F23">IF(E23="","",IF(ABS(E23)&lt;=Summary!$B$4,1,0))</f>
        <v>1</v>
      </c>
      <c r="G23" s="49" t="n">
        <f aca="false" t="array" ref="G23:G23">293107000/Summary!$B$3</f>
        <v>293107</v>
      </c>
      <c r="H23" s="50" t="n">
        <v>293107</v>
      </c>
      <c r="I23" s="51" t="n">
        <f aca="false" t="array" ref="I23:I23">IF(OR(H23="",G23=""),"",IF(H23=0,IF(G23=0,0,1),(G23-H23)/ABS(H23)))</f>
        <v>0</v>
      </c>
      <c r="J23" s="53" t="n">
        <f aca="false" t="array" ref="J23:J23">IF(I23="","",IF(ABS(I23)&lt;=Summary!$B$4,1,0))</f>
        <v>1</v>
      </c>
      <c r="K23" s="54"/>
      <c r="L23" s="55"/>
      <c r="M23" s="28" t="s">
        <v>83</v>
      </c>
      <c r="N23" s="2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3.5" hidden="false" customHeight="true" outlineLevel="0" collapsed="false">
      <c r="A24" s="56" t="s">
        <v>84</v>
      </c>
      <c r="B24" s="48" t="s">
        <v>85</v>
      </c>
      <c r="C24" s="49" t="n">
        <f aca="false" t="array" ref="C24:C24">1250737000/Summary!$B$3</f>
        <v>1250737</v>
      </c>
      <c r="D24" s="50" t="n">
        <f aca="false" t="array" ref="D24:D24">D22-D23</f>
        <v>1250737</v>
      </c>
      <c r="E24" s="51" t="n">
        <f aca="false" t="array" ref="E24:E24">IF(OR(D24="",C24=""),"",IF(D24=0,IF(C24=0,0,1),(C24-D24)/ABS(D24)))</f>
        <v>0</v>
      </c>
      <c r="F24" s="52" t="n">
        <f aca="false" t="array" ref="F24:F24">IF(E24="","",IF(ABS(E24)&lt;=Summary!$B$4,1,0))</f>
        <v>1</v>
      </c>
      <c r="G24" s="49" t="n">
        <f aca="false" t="array" ref="G24:G24">1053716000/Summary!$B$3</f>
        <v>1053716</v>
      </c>
      <c r="H24" s="50" t="n">
        <f aca="false" t="array" ref="H24:H24">H22-H23</f>
        <v>1053716</v>
      </c>
      <c r="I24" s="51" t="n">
        <f aca="false" t="array" ref="I24:I24">IF(OR(H24="",G24=""),"",IF(H24=0,IF(G24=0,0,1),(G24-H24)/ABS(H24)))</f>
        <v>0</v>
      </c>
      <c r="J24" s="53" t="n">
        <f aca="false" t="array" ref="J24:J24">IF(I24="","",IF(ABS(I24)&lt;=Summary!$B$4,1,0))</f>
        <v>1</v>
      </c>
      <c r="K24" s="54"/>
      <c r="L24" s="55"/>
      <c r="M24" s="28" t="s">
        <v>86</v>
      </c>
      <c r="N24" s="2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3.5" hidden="false" customHeight="true" outlineLevel="0" collapsed="false">
      <c r="A25" s="47" t="s">
        <v>87</v>
      </c>
      <c r="B25" s="48" t="s">
        <v>88</v>
      </c>
      <c r="C25" s="49" t="n">
        <f aca="false" t="array" ref="C25:C25">0/Summary!$B$3</f>
        <v>0</v>
      </c>
      <c r="D25" s="50" t="n">
        <v>0</v>
      </c>
      <c r="E25" s="51" t="n">
        <f aca="false" t="array" ref="E25:E25">IF(OR(D25="",C25=""),"",IF(D25=0,IF(C25=0,0,1),(C25-D25)/ABS(D25)))</f>
        <v>0</v>
      </c>
      <c r="F25" s="52" t="n">
        <f aca="false" t="array" ref="F25:F25">IF(E25="","",IF(ABS(E25)&lt;=Summary!$B$4,1,0))</f>
        <v>1</v>
      </c>
      <c r="G25" s="49" t="n">
        <f aca="false" t="array" ref="G25:G25">25000000/Summary!$B$3</f>
        <v>25000</v>
      </c>
      <c r="H25" s="50" t="n">
        <v>25000</v>
      </c>
      <c r="I25" s="51" t="n">
        <f aca="false" t="array" ref="I25:I25">IF(OR(H25="",G25=""),"",IF(H25=0,IF(G25=0,0,1),(G25-H25)/ABS(H25)))</f>
        <v>0</v>
      </c>
      <c r="J25" s="53" t="n">
        <f aca="false" t="array" ref="J25:J25">IF(I25="","",IF(ABS(I25)&lt;=Summary!$B$4,1,0))</f>
        <v>1</v>
      </c>
      <c r="K25" s="54"/>
      <c r="L25" s="55"/>
      <c r="M25" s="28" t="s">
        <v>89</v>
      </c>
      <c r="N25" s="2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3.5" hidden="false" customHeight="true" outlineLevel="0" collapsed="false">
      <c r="A26" s="56" t="s">
        <v>90</v>
      </c>
      <c r="B26" s="48" t="s">
        <v>91</v>
      </c>
      <c r="C26" s="49" t="n">
        <f aca="false" t="array" ref="C26:C26">1250737000/Summary!$B$3</f>
        <v>1250737</v>
      </c>
      <c r="D26" s="50" t="n">
        <f aca="false" t="array" ref="D26:D26">D24+D25</f>
        <v>1250737</v>
      </c>
      <c r="E26" s="51" t="n">
        <f aca="false" t="array" ref="E26:E26">IF(OR(D26="",C26=""),"",IF(D26=0,IF(C26=0,0,1),(C26-D26)/ABS(D26)))</f>
        <v>0</v>
      </c>
      <c r="F26" s="52" t="n">
        <f aca="false" t="array" ref="F26:F26">IF(E26="","",IF(ABS(E26)&lt;=Summary!$B$4,1,0))</f>
        <v>1</v>
      </c>
      <c r="G26" s="49" t="n">
        <f aca="false" t="array" ref="G26:G26">1078716000/Summary!$B$3</f>
        <v>1078716</v>
      </c>
      <c r="H26" s="50" t="n">
        <f aca="false" t="array" ref="H26:H26">SUM(H24:H25)</f>
        <v>1078716</v>
      </c>
      <c r="I26" s="51" t="n">
        <f aca="false" t="array" ref="I26:I26">IF(OR(H26="",G26=""),"",IF(H26=0,IF(G26=0,0,1),(G26-H26)/ABS(H26)))</f>
        <v>0</v>
      </c>
      <c r="J26" s="53" t="n">
        <f aca="false" t="array" ref="J26:J26">IF(I26="","",IF(ABS(I26)&lt;=Summary!$B$4,1,0))</f>
        <v>1</v>
      </c>
      <c r="K26" s="54"/>
      <c r="L26" s="55"/>
      <c r="M26" s="28" t="s">
        <v>92</v>
      </c>
      <c r="N26" s="2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3.5" hidden="false" customHeight="true" outlineLevel="0" collapsed="false">
      <c r="A27" s="47" t="s">
        <v>93</v>
      </c>
      <c r="B27" s="48" t="s">
        <v>94</v>
      </c>
      <c r="C27" s="49" t="n">
        <f aca="false" t="array" ref="C27:C27">-314395000/Summary!$B$3</f>
        <v>-314395</v>
      </c>
      <c r="D27" s="50" t="n">
        <v>-314395</v>
      </c>
      <c r="E27" s="51" t="n">
        <f aca="false" t="array" ref="E27:E27">IF(OR(D27="",C27=""),"",IF(D27=0,IF(C27=0,0,1),(C27-D27)/ABS(D27)))</f>
        <v>0</v>
      </c>
      <c r="F27" s="52" t="n">
        <f aca="false" t="array" ref="F27:F27">IF(E27="","",IF(ABS(E27)&lt;=Summary!$B$4,1,0))</f>
        <v>1</v>
      </c>
      <c r="G27" s="49" t="n">
        <f aca="false" t="array" ref="G27:G27">-331913000/Summary!$B$3</f>
        <v>-331913</v>
      </c>
      <c r="H27" s="50" t="n">
        <v>-331913</v>
      </c>
      <c r="I27" s="51" t="n">
        <f aca="false" t="array" ref="I27:I27">IF(OR(H27="",G27=""),"",IF(H27=0,IF(G27=0,0,1),(G27-H27)/ABS(H27)))</f>
        <v>0</v>
      </c>
      <c r="J27" s="53" t="n">
        <f aca="false" t="array" ref="J27:J27">IF(I27="","",IF(ABS(I27)&lt;=Summary!$B$4,1,0))</f>
        <v>1</v>
      </c>
      <c r="K27" s="54"/>
      <c r="L27" s="55"/>
      <c r="M27" s="28" t="s">
        <v>95</v>
      </c>
      <c r="N27" s="2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3.5" hidden="false" customHeight="true" outlineLevel="0" collapsed="false">
      <c r="A28" s="56" t="s">
        <v>96</v>
      </c>
      <c r="B28" s="48" t="s">
        <v>97</v>
      </c>
      <c r="C28" s="49" t="n">
        <f aca="false" t="array" ref="C28:C28">936342000/Summary!$B$3</f>
        <v>936342</v>
      </c>
      <c r="D28" s="50" t="n">
        <f aca="false" t="array" ref="D28:D28">D26+D27</f>
        <v>936342</v>
      </c>
      <c r="E28" s="51" t="n">
        <f aca="false" t="array" ref="E28:E28">IF(OR(D28="",C28=""),"",IF(D28=0,IF(C28=0,0,1),(C28-D28)/ABS(D28)))</f>
        <v>0</v>
      </c>
      <c r="F28" s="52" t="n">
        <f aca="false" t="array" ref="F28:F28">IF(E28="","",IF(ABS(E28)&lt;=Summary!$B$4,1,0))</f>
        <v>1</v>
      </c>
      <c r="G28" s="49" t="n">
        <f aca="false" t="array" ref="G28:G28">746803000/Summary!$B$3</f>
        <v>746803</v>
      </c>
      <c r="H28" s="50" t="n">
        <f aca="false" t="array" ref="H28:H28">SUM(H26:H27)</f>
        <v>746803</v>
      </c>
      <c r="I28" s="51" t="n">
        <f aca="false" t="array" ref="I28:I28">IF(OR(H28="",G28=""),"",IF(H28=0,IF(G28=0,0,1),(G28-H28)/ABS(H28)))</f>
        <v>0</v>
      </c>
      <c r="J28" s="53" t="n">
        <f aca="false" t="array" ref="J28:J28">IF(I28="","",IF(ABS(I28)&lt;=Summary!$B$4,1,0))</f>
        <v>1</v>
      </c>
      <c r="K28" s="54"/>
      <c r="L28" s="55"/>
      <c r="M28" s="28" t="s">
        <v>98</v>
      </c>
      <c r="N28" s="2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3.5" hidden="false" customHeight="true" outlineLevel="0" collapsed="false">
      <c r="A29" s="57" t="s">
        <v>99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2"/>
      <c r="N29" s="2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3.5" hidden="false" customHeight="true" outlineLevel="0" collapsed="false">
      <c r="A30" s="60" t="s">
        <v>100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3.5" hidden="false" customHeight="true" outlineLevel="0" collapsed="false">
      <c r="A31" s="60" t="s">
        <v>101</v>
      </c>
      <c r="B31" s="2"/>
      <c r="C31" s="2"/>
      <c r="D31" s="4"/>
      <c r="E31" s="2"/>
      <c r="F31" s="2"/>
      <c r="G31" s="2"/>
      <c r="H31" s="4"/>
      <c r="I31" s="2"/>
      <c r="J31" s="2"/>
      <c r="K31" s="4"/>
      <c r="L31" s="2"/>
      <c r="M31" s="2"/>
      <c r="N31" s="2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3.5" hidden="false" customHeight="true" outlineLevel="0" collapsed="false">
      <c r="A32" s="38" t="s">
        <v>84</v>
      </c>
      <c r="B32" s="39" t="s">
        <v>102</v>
      </c>
      <c r="C32" s="40" t="n">
        <f aca="false" t="array" ref="C32:C32">936342000/Summary!$B$3</f>
        <v>936342</v>
      </c>
      <c r="D32" s="41" t="n">
        <f aca="false" t="array" ref="D32:D32">D28</f>
        <v>936342</v>
      </c>
      <c r="E32" s="42" t="n">
        <f aca="false" t="array" ref="E32:E32">IF(OR(D32="",C32=""),"",IF(D32=0,IF(C32=0,0,1),(C32-D32)/ABS(D32)))</f>
        <v>0</v>
      </c>
      <c r="F32" s="43" t="n">
        <f aca="false" t="array" ref="F32:F32">IF(E32="","",IF(ABS(E32)&lt;=Summary!$B$4,1,0))</f>
        <v>1</v>
      </c>
      <c r="G32" s="40" t="n">
        <f aca="false" t="array" ref="G32:G32">721803000/Summary!$B$3</f>
        <v>721803</v>
      </c>
      <c r="H32" s="41" t="n">
        <v>721803</v>
      </c>
      <c r="I32" s="42" t="n">
        <f aca="false" t="array" ref="I32:I32">IF(OR(H32="",G32=""),"",IF(H32=0,IF(G32=0,0,1),(G32-H32)/ABS(H32)))</f>
        <v>0</v>
      </c>
      <c r="J32" s="44" t="n">
        <f aca="false" t="array" ref="J32:J32">IF(I32="","",IF(ABS(I32)&lt;=Summary!$B$4,1,0))</f>
        <v>1</v>
      </c>
      <c r="K32" s="45"/>
      <c r="L32" s="46"/>
      <c r="M32" s="28" t="s">
        <v>103</v>
      </c>
      <c r="N32" s="2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3.5" hidden="false" customHeight="true" outlineLevel="0" collapsed="false">
      <c r="A33" s="47" t="s">
        <v>104</v>
      </c>
      <c r="B33" s="48" t="s">
        <v>105</v>
      </c>
      <c r="C33" s="49" t="n">
        <f aca="false" t="array" ref="C33:C33">0/Summary!$B$3</f>
        <v>0</v>
      </c>
      <c r="D33" s="50" t="n">
        <v>0</v>
      </c>
      <c r="E33" s="51" t="n">
        <f aca="false" t="array" ref="E33:E33">IF(OR(D33="",C33=""),"",IF(D33=0,IF(C33=0,0,1),(C33-D33)/ABS(D33)))</f>
        <v>0</v>
      </c>
      <c r="F33" s="52" t="n">
        <f aca="false" t="array" ref="F33:F33">IF(E33="","",IF(ABS(E33)&lt;=Summary!$B$4,1,0))</f>
        <v>1</v>
      </c>
      <c r="G33" s="49" t="n">
        <f aca="false" t="array" ref="G33:G33">25000000/Summary!$B$3</f>
        <v>25000</v>
      </c>
      <c r="H33" s="50" t="n">
        <v>25000</v>
      </c>
      <c r="I33" s="51" t="n">
        <f aca="false" t="array" ref="I33:I33">IF(OR(H33="",G33=""),"",IF(H33=0,IF(G33=0,0,1),(G33-H33)/ABS(H33)))</f>
        <v>0</v>
      </c>
      <c r="J33" s="53" t="n">
        <f aca="false" t="array" ref="J33:J33">IF(I33="","",IF(ABS(I33)&lt;=Summary!$B$4,1,0))</f>
        <v>1</v>
      </c>
      <c r="K33" s="54"/>
      <c r="L33" s="55"/>
      <c r="M33" s="28" t="s">
        <v>106</v>
      </c>
      <c r="N33" s="2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3.5" hidden="false" customHeight="true" outlineLevel="0" collapsed="false">
      <c r="A34" s="56" t="s">
        <v>96</v>
      </c>
      <c r="B34" s="48" t="s">
        <v>97</v>
      </c>
      <c r="C34" s="49" t="n">
        <f aca="false" t="array" ref="C34:C34">936342000/Summary!$B$3</f>
        <v>936342</v>
      </c>
      <c r="D34" s="50" t="n">
        <f aca="false" t="array" ref="D34:D34">D32+D33</f>
        <v>936342</v>
      </c>
      <c r="E34" s="51" t="n">
        <f aca="false" t="array" ref="E34:E34">IF(OR(D34="",C34=""),"",IF(D34=0,IF(C34=0,0,1),(C34-D34)/ABS(D34)))</f>
        <v>0</v>
      </c>
      <c r="F34" s="52" t="n">
        <f aca="false" t="array" ref="F34:F34">IF(E34="","",IF(ABS(E34)&lt;=Summary!$B$4,1,0))</f>
        <v>1</v>
      </c>
      <c r="G34" s="49" t="n">
        <f aca="false" t="array" ref="G34:G34">746803000/Summary!$B$3</f>
        <v>746803</v>
      </c>
      <c r="H34" s="50" t="n">
        <f aca="false" t="array" ref="H34:H34">SUM(H32:H33)</f>
        <v>746803</v>
      </c>
      <c r="I34" s="51" t="n">
        <f aca="false" t="array" ref="I34:I34">IF(OR(H34="",G34=""),"",IF(H34=0,IF(G34=0,0,1),(G34-H34)/ABS(H34)))</f>
        <v>0</v>
      </c>
      <c r="J34" s="53" t="n">
        <f aca="false" t="array" ref="J34:J34">IF(I34="","",IF(ABS(I34)&lt;=Summary!$B$4,1,0))</f>
        <v>1</v>
      </c>
      <c r="K34" s="54"/>
      <c r="L34" s="55"/>
      <c r="M34" s="28" t="s">
        <v>107</v>
      </c>
      <c r="N34" s="2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C4:F4"/>
    <mergeCell ref="G4:J4"/>
  </mergeCells>
  <hyperlinks>
    <hyperlink ref="A3" r:id="rId2" display="Open this statement on SEC.gov"/>
  </hyperlinks>
  <printOptions headings="false" gridLines="false" gridLinesSet="true" horizontalCentered="false" verticalCentered="false"/>
  <pageMargins left="0.75" right="0.75" top="1" bottom="1" header="0.511811023622047" footer="0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&amp;C000000&amp;P</oddFooter>
  </headerFooter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4"/>
    <col collapsed="false" customWidth="true" hidden="false" outlineLevel="0" max="4" min="3" style="0" width="13"/>
    <col collapsed="false" customWidth="true" hidden="false" outlineLevel="0" max="5" min="5" style="0" width="9"/>
    <col collapsed="false" customWidth="true" hidden="false" outlineLevel="0" max="6" min="6" style="0" width="5"/>
    <col collapsed="false" customWidth="true" hidden="false" outlineLevel="0" max="8" min="7" style="0" width="13"/>
    <col collapsed="false" customWidth="true" hidden="false" outlineLevel="0" max="9" min="9" style="0" width="9"/>
    <col collapsed="false" customWidth="true" hidden="false" outlineLevel="0" max="10" min="10" style="0" width="5"/>
    <col collapsed="false" customWidth="true" hidden="false" outlineLevel="0" max="11" min="11" style="0" width="24"/>
    <col collapsed="false" customWidth="true" hidden="false" outlineLevel="0" max="12" min="12" style="0" width="22"/>
    <col collapsed="false" customWidth="true" hidden="true" outlineLevel="0" max="13" min="13" style="0" width="8.86"/>
    <col collapsed="false" customWidth="true" hidden="false" outlineLevel="0" max="26" min="14" style="0" width="8.86"/>
  </cols>
  <sheetData>
    <row r="1" customFormat="false" ht="18" hidden="false" customHeight="true" outlineLevel="0" collapsed="false">
      <c r="A1" s="1" t="s">
        <v>108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3.5" hidden="false" customHeight="true" outlineLevel="0" collapsed="false">
      <c r="A2" s="28" t="s">
        <v>109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3.5" hidden="false" customHeight="true" outlineLevel="0" collapsed="false">
      <c r="A3" s="29" t="s">
        <v>23</v>
      </c>
      <c r="B3" s="2"/>
      <c r="C3" s="4"/>
      <c r="D3" s="2"/>
      <c r="E3" s="2"/>
      <c r="F3" s="2"/>
      <c r="G3" s="4"/>
      <c r="H3" s="2"/>
      <c r="I3" s="2"/>
      <c r="J3" s="2"/>
      <c r="K3" s="2"/>
      <c r="L3" s="2"/>
      <c r="M3" s="2"/>
      <c r="N3" s="2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3.5" hidden="false" customHeight="true" outlineLevel="0" collapsed="false">
      <c r="A4" s="4"/>
      <c r="B4" s="30"/>
      <c r="C4" s="31" t="s">
        <v>24</v>
      </c>
      <c r="D4" s="31"/>
      <c r="E4" s="31"/>
      <c r="F4" s="31"/>
      <c r="G4" s="32" t="s">
        <v>25</v>
      </c>
      <c r="H4" s="32"/>
      <c r="I4" s="32"/>
      <c r="J4" s="32"/>
      <c r="K4" s="4"/>
      <c r="L4" s="4"/>
      <c r="M4" s="4"/>
      <c r="N4" s="2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3.5" hidden="false" customHeight="true" outlineLevel="0" collapsed="false">
      <c r="A5" s="33" t="s">
        <v>26</v>
      </c>
      <c r="B5" s="34" t="s">
        <v>27</v>
      </c>
      <c r="C5" s="34" t="s">
        <v>28</v>
      </c>
      <c r="D5" s="34" t="s">
        <v>6</v>
      </c>
      <c r="E5" s="34" t="s">
        <v>29</v>
      </c>
      <c r="F5" s="34" t="s">
        <v>30</v>
      </c>
      <c r="G5" s="34" t="s">
        <v>28</v>
      </c>
      <c r="H5" s="34" t="s">
        <v>6</v>
      </c>
      <c r="I5" s="34" t="s">
        <v>29</v>
      </c>
      <c r="J5" s="34" t="s">
        <v>30</v>
      </c>
      <c r="K5" s="34" t="s">
        <v>31</v>
      </c>
      <c r="L5" s="34" t="s">
        <v>32</v>
      </c>
      <c r="M5" s="34" t="s">
        <v>33</v>
      </c>
      <c r="N5" s="14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3.5" hidden="false" customHeight="true" outlineLevel="0" collapsed="false">
      <c r="A6" s="35" t="s">
        <v>110</v>
      </c>
      <c r="B6" s="36"/>
      <c r="C6" s="36"/>
      <c r="D6" s="37"/>
      <c r="E6" s="36"/>
      <c r="F6" s="36"/>
      <c r="G6" s="36"/>
      <c r="H6" s="37"/>
      <c r="I6" s="36"/>
      <c r="J6" s="36"/>
      <c r="K6" s="37"/>
      <c r="L6" s="36"/>
      <c r="M6" s="36"/>
      <c r="N6" s="2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3.5" hidden="false" customHeight="true" outlineLevel="0" collapsed="false">
      <c r="A7" s="38" t="s">
        <v>111</v>
      </c>
      <c r="B7" s="39" t="s">
        <v>112</v>
      </c>
      <c r="C7" s="40" t="n">
        <f aca="false" t="array" ref="C7:C7">794933000/Summary!$B$3</f>
        <v>794933</v>
      </c>
      <c r="D7" s="41" t="n">
        <v>794933</v>
      </c>
      <c r="E7" s="42" t="n">
        <f aca="false" t="array" ref="E7:E7">IF(OR(D7="",C7=""),"",IF(D7=0,IF(C7=0,0,1),(C7-D7)/ABS(D7)))</f>
        <v>0</v>
      </c>
      <c r="F7" s="43" t="n">
        <f aca="false" t="array" ref="F7:F7">IF(E7="","",IF(ABS(E7)&lt;=Summary!$B$4,1,0))</f>
        <v>1</v>
      </c>
      <c r="G7" s="40" t="n">
        <f aca="false" t="array" ref="G7:G7">676438000/Summary!$B$3</f>
        <v>676438</v>
      </c>
      <c r="H7" s="41" t="n">
        <v>676438</v>
      </c>
      <c r="I7" s="42" t="n">
        <f aca="false" t="array" ref="I7:I7">IF(OR(H7="",G7=""),"",IF(H7=0,IF(G7=0,0,1),(G7-H7)/ABS(H7)))</f>
        <v>0</v>
      </c>
      <c r="J7" s="44" t="n">
        <f aca="false" t="array" ref="J7:J7">IF(I7="","",IF(ABS(I7)&lt;=Summary!$B$4,1,0))</f>
        <v>1</v>
      </c>
      <c r="K7" s="45"/>
      <c r="L7" s="46"/>
      <c r="M7" s="28" t="s">
        <v>113</v>
      </c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3.5" hidden="false" customHeight="true" outlineLevel="0" collapsed="false">
      <c r="A8" s="47" t="s">
        <v>114</v>
      </c>
      <c r="B8" s="48" t="s">
        <v>115</v>
      </c>
      <c r="C8" s="49" t="n">
        <f aca="false" t="array" ref="C8:C8">84892000/Summary!$B$3</f>
        <v>84892</v>
      </c>
      <c r="D8" s="50" t="n">
        <v>84892</v>
      </c>
      <c r="E8" s="51" t="n">
        <f aca="false" t="array" ref="E8:E8">IF(OR(D8="",C8=""),"",IF(D8=0,IF(C8=0,0,1),(C8-D8)/ABS(D8)))</f>
        <v>0</v>
      </c>
      <c r="F8" s="52" t="n">
        <f aca="false" t="array" ref="F8:F8">IF(E8="","",IF(ABS(E8)&lt;=Summary!$B$4,1,0))</f>
        <v>1</v>
      </c>
      <c r="G8" s="49" t="n">
        <f aca="false" t="array" ref="G8:G8">81309000/Summary!$B$3</f>
        <v>81309</v>
      </c>
      <c r="H8" s="50" t="n">
        <v>81309</v>
      </c>
      <c r="I8" s="51" t="n">
        <f aca="false" t="array" ref="I8:I8">IF(OR(H8="",G8=""),"",IF(H8=0,IF(G8=0,0,1),(G8-H8)/ABS(H8)))</f>
        <v>0</v>
      </c>
      <c r="J8" s="53" t="n">
        <f aca="false" t="array" ref="J8:J8">IF(I8="","",IF(ABS(I8)&lt;=Summary!$B$4,1,0))</f>
        <v>1</v>
      </c>
      <c r="K8" s="54"/>
      <c r="L8" s="55"/>
      <c r="M8" s="28" t="s">
        <v>116</v>
      </c>
      <c r="N8" s="2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3.5" hidden="false" customHeight="true" outlineLevel="0" collapsed="false">
      <c r="A9" s="47" t="s">
        <v>117</v>
      </c>
      <c r="B9" s="48" t="s">
        <v>118</v>
      </c>
      <c r="C9" s="49" t="n">
        <f aca="false" t="array" ref="C9:C9">51064000/Summary!$B$3</f>
        <v>51064</v>
      </c>
      <c r="D9" s="50" t="n">
        <v>51064</v>
      </c>
      <c r="E9" s="51" t="n">
        <f aca="false" t="array" ref="E9:E9">IF(OR(D9="",C9=""),"",IF(D9=0,IF(C9=0,0,1),(C9-D9)/ABS(D9)))</f>
        <v>0</v>
      </c>
      <c r="F9" s="52" t="n">
        <f aca="false" t="array" ref="F9:F9">IF(E9="","",IF(ABS(E9)&lt;=Summary!$B$4,1,0))</f>
        <v>1</v>
      </c>
      <c r="G9" s="49" t="n">
        <f aca="false" t="array" ref="G9:G9">24303000/Summary!$B$3</f>
        <v>24303</v>
      </c>
      <c r="H9" s="50" t="n">
        <v>24303</v>
      </c>
      <c r="I9" s="51" t="n">
        <f aca="false" t="array" ref="I9:I9">IF(OR(H9="",G9=""),"",IF(H9=0,IF(G9=0,0,1),(G9-H9)/ABS(H9)))</f>
        <v>0</v>
      </c>
      <c r="J9" s="53" t="n">
        <f aca="false" t="array" ref="J9:J9">IF(I9="","",IF(ABS(I9)&lt;=Summary!$B$4,1,0))</f>
        <v>1</v>
      </c>
      <c r="K9" s="54"/>
      <c r="L9" s="55"/>
      <c r="M9" s="28" t="s">
        <v>119</v>
      </c>
      <c r="N9" s="2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3.5" hidden="false" customHeight="true" outlineLevel="0" collapsed="false">
      <c r="A10" s="47" t="s">
        <v>120</v>
      </c>
      <c r="B10" s="48" t="s">
        <v>121</v>
      </c>
      <c r="C10" s="49" t="n">
        <f aca="false" t="array" ref="C10:C10">2146975000/Summary!$B$3</f>
        <v>2146975</v>
      </c>
      <c r="D10" s="50" t="n">
        <v>2146975</v>
      </c>
      <c r="E10" s="51" t="n">
        <f aca="false" t="array" ref="E10:E10">IF(OR(D10="",C10=""),"",IF(D10=0,IF(C10=0,0,1),(C10-D10)/ABS(D10)))</f>
        <v>0</v>
      </c>
      <c r="F10" s="52" t="n">
        <f aca="false" t="array" ref="F10:F10">IF(E10="","",IF(ABS(E10)&lt;=Summary!$B$4,1,0))</f>
        <v>1</v>
      </c>
      <c r="G10" s="49" t="n">
        <f aca="false" t="array" ref="G10:G10">2414690000/Summary!$B$3</f>
        <v>2414690</v>
      </c>
      <c r="H10" s="50" t="n">
        <v>2414690</v>
      </c>
      <c r="I10" s="51" t="n">
        <f aca="false" t="array" ref="I10:I10">IF(OR(H10="",G10=""),"",IF(H10=0,IF(G10=0,0,1),(G10-H10)/ABS(H10)))</f>
        <v>0</v>
      </c>
      <c r="J10" s="53" t="n">
        <f aca="false" t="array" ref="J10:J10">IF(I10="","",IF(ABS(I10)&lt;=Summary!$B$4,1,0))</f>
        <v>1</v>
      </c>
      <c r="K10" s="54"/>
      <c r="L10" s="55"/>
      <c r="M10" s="28" t="s">
        <v>122</v>
      </c>
      <c r="N10" s="2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3.5" hidden="false" customHeight="true" outlineLevel="0" collapsed="false">
      <c r="A11" s="47" t="s">
        <v>123</v>
      </c>
      <c r="B11" s="48" t="s">
        <v>124</v>
      </c>
      <c r="C11" s="49" t="n">
        <f aca="false" t="array" ref="C11:C11">134559000/Summary!$B$3</f>
        <v>134559</v>
      </c>
      <c r="D11" s="50" t="n">
        <v>134559</v>
      </c>
      <c r="E11" s="51" t="n">
        <f aca="false" t="array" ref="E11:E11">IF(OR(D11="",C11=""),"",IF(D11=0,IF(C11=0,0,1),(C11-D11)/ABS(D11)))</f>
        <v>0</v>
      </c>
      <c r="F11" s="52" t="n">
        <f aca="false" t="array" ref="F11:F11">IF(E11="","",IF(ABS(E11)&lt;=Summary!$B$4,1,0))</f>
        <v>1</v>
      </c>
      <c r="G11" s="49" t="n">
        <f aca="false" t="array" ref="G11:G11">160627000/Summary!$B$3</f>
        <v>160627</v>
      </c>
      <c r="H11" s="50" t="n">
        <v>160627</v>
      </c>
      <c r="I11" s="51" t="n">
        <f aca="false" t="array" ref="I11:I11">IF(OR(H11="",G11=""),"",IF(H11=0,IF(G11=0,0,1),(G11-H11)/ABS(H11)))</f>
        <v>0</v>
      </c>
      <c r="J11" s="53" t="n">
        <f aca="false" t="array" ref="J11:J11">IF(I11="","",IF(ABS(I11)&lt;=Summary!$B$4,1,0))</f>
        <v>1</v>
      </c>
      <c r="K11" s="54"/>
      <c r="L11" s="55"/>
      <c r="M11" s="28" t="s">
        <v>125</v>
      </c>
      <c r="N11" s="2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3.5" hidden="false" customHeight="true" outlineLevel="0" collapsed="false">
      <c r="A12" s="47" t="s">
        <v>126</v>
      </c>
      <c r="B12" s="48" t="s">
        <v>127</v>
      </c>
      <c r="C12" s="49" t="n">
        <f aca="false" t="array" ref="C12:C12">383166000/Summary!$B$3</f>
        <v>383166</v>
      </c>
      <c r="D12" s="50" t="n">
        <v>383166</v>
      </c>
      <c r="E12" s="51" t="n">
        <f aca="false" t="array" ref="E12:E12">IF(OR(D12="",C12=""),"",IF(D12=0,IF(C12=0,0,1),(C12-D12)/ABS(D12)))</f>
        <v>0</v>
      </c>
      <c r="F12" s="52" t="n">
        <f aca="false" t="array" ref="F12:F12">IF(E12="","",IF(ABS(E12)&lt;=Summary!$B$4,1,0))</f>
        <v>1</v>
      </c>
      <c r="G12" s="49" t="n">
        <f aca="false" t="array" ref="G12:G12">494414000/Summary!$B$3</f>
        <v>494414</v>
      </c>
      <c r="H12" s="50" t="n">
        <v>494414</v>
      </c>
      <c r="I12" s="51" t="n">
        <f aca="false" t="array" ref="I12:I12">IF(OR(H12="",G12=""),"",IF(H12=0,IF(G12=0,0,1),(G12-H12)/ABS(H12)))</f>
        <v>0</v>
      </c>
      <c r="J12" s="53" t="n">
        <f aca="false" t="array" ref="J12:J12">IF(I12="","",IF(ABS(I12)&lt;=Summary!$B$4,1,0))</f>
        <v>1</v>
      </c>
      <c r="K12" s="54"/>
      <c r="L12" s="55"/>
      <c r="M12" s="28" t="s">
        <v>128</v>
      </c>
      <c r="N12" s="2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3.5" hidden="false" customHeight="true" outlineLevel="0" collapsed="false">
      <c r="A13" s="47" t="s">
        <v>129</v>
      </c>
      <c r="B13" s="48" t="s">
        <v>130</v>
      </c>
      <c r="C13" s="49" t="n">
        <f aca="false" t="array" ref="C13:C13">122948000/Summary!$B$3</f>
        <v>122948</v>
      </c>
      <c r="D13" s="50" t="n">
        <v>122948</v>
      </c>
      <c r="E13" s="51" t="n">
        <f aca="false" t="array" ref="E13:E13">IF(OR(D13="",C13=""),"",IF(D13=0,IF(C13=0,0,1),(C13-D13)/ABS(D13)))</f>
        <v>0</v>
      </c>
      <c r="F13" s="52" t="n">
        <f aca="false" t="array" ref="F13:F13">IF(E13="","",IF(ABS(E13)&lt;=Summary!$B$4,1,0))</f>
        <v>1</v>
      </c>
      <c r="G13" s="49" t="n">
        <f aca="false" t="array" ref="G13:G13">156285000/Summary!$B$3</f>
        <v>156285</v>
      </c>
      <c r="H13" s="50" t="n">
        <v>156285</v>
      </c>
      <c r="I13" s="51" t="n">
        <f aca="false" t="array" ref="I13:I13">IF(OR(H13="",G13=""),"",IF(H13=0,IF(G13=0,0,1),(G13-H13)/ABS(H13)))</f>
        <v>0</v>
      </c>
      <c r="J13" s="53" t="n">
        <f aca="false" t="array" ref="J13:J13">IF(I13="","",IF(ABS(I13)&lt;=Summary!$B$4,1,0))</f>
        <v>1</v>
      </c>
      <c r="K13" s="54"/>
      <c r="L13" s="55"/>
      <c r="M13" s="28" t="s">
        <v>131</v>
      </c>
      <c r="N13" s="2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3.5" hidden="false" customHeight="true" outlineLevel="0" collapsed="false">
      <c r="A14" s="47" t="s">
        <v>132</v>
      </c>
      <c r="B14" s="48" t="s">
        <v>133</v>
      </c>
      <c r="C14" s="49" t="n">
        <f aca="false" t="array" ref="C14:C14">27535000/Summary!$B$3</f>
        <v>27535</v>
      </c>
      <c r="D14" s="50" t="n">
        <v>27535</v>
      </c>
      <c r="E14" s="51" t="n">
        <f aca="false" t="array" ref="E14:E14">IF(OR(D14="",C14=""),"",IF(D14=0,IF(C14=0,0,1),(C14-D14)/ABS(D14)))</f>
        <v>0</v>
      </c>
      <c r="F14" s="52" t="n">
        <f aca="false" t="array" ref="F14:F14">IF(E14="","",IF(ABS(E14)&lt;=Summary!$B$4,1,0))</f>
        <v>1</v>
      </c>
      <c r="G14" s="49" t="n">
        <f aca="false" t="array" ref="G14:G14">49937000/Summary!$B$3</f>
        <v>49937</v>
      </c>
      <c r="H14" s="50" t="n">
        <v>49937</v>
      </c>
      <c r="I14" s="51" t="n">
        <f aca="false" t="array" ref="I14:I14">IF(OR(H14="",G14=""),"",IF(H14=0,IF(G14=0,0,1),(G14-H14)/ABS(H14)))</f>
        <v>0</v>
      </c>
      <c r="J14" s="53" t="n">
        <f aca="false" t="array" ref="J14:J14">IF(I14="","",IF(ABS(I14)&lt;=Summary!$B$4,1,0))</f>
        <v>1</v>
      </c>
      <c r="K14" s="54"/>
      <c r="L14" s="55"/>
      <c r="M14" s="28" t="s">
        <v>134</v>
      </c>
      <c r="N14" s="2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3.5" hidden="false" customHeight="true" outlineLevel="0" collapsed="false">
      <c r="A15" s="56" t="s">
        <v>135</v>
      </c>
      <c r="B15" s="48" t="s">
        <v>136</v>
      </c>
      <c r="C15" s="49" t="n">
        <f aca="false" t="array" ref="C15:C15">3746072000/Summary!$B$3</f>
        <v>3746072</v>
      </c>
      <c r="D15" s="50" t="n">
        <f aca="false" t="array" ref="D15:D15">SUM(D7:D14)</f>
        <v>3746072</v>
      </c>
      <c r="E15" s="51" t="n">
        <f aca="false" t="array" ref="E15:E15">IF(OR(D15="",C15=""),"",IF(D15=0,IF(C15=0,0,1),(C15-D15)/ABS(D15)))</f>
        <v>0</v>
      </c>
      <c r="F15" s="52" t="n">
        <f aca="false" t="array" ref="F15:F15">IF(E15="","",IF(ABS(E15)&lt;=Summary!$B$4,1,0))</f>
        <v>1</v>
      </c>
      <c r="G15" s="49" t="n">
        <f aca="false" t="array" ref="G15:G15">4058003000/Summary!$B$3</f>
        <v>4058003</v>
      </c>
      <c r="H15" s="50" t="n">
        <f aca="false" t="array" ref="H15:H15">SUM(H7:H14)</f>
        <v>4058003</v>
      </c>
      <c r="I15" s="51" t="n">
        <f aca="false" t="array" ref="I15:I15">IF(OR(H15="",G15=""),"",IF(H15=0,IF(G15=0,0,1),(G15-H15)/ABS(H15)))</f>
        <v>0</v>
      </c>
      <c r="J15" s="53" t="n">
        <f aca="false" t="array" ref="J15:J15">IF(I15="","",IF(ABS(I15)&lt;=Summary!$B$4,1,0))</f>
        <v>1</v>
      </c>
      <c r="K15" s="54"/>
      <c r="L15" s="55"/>
      <c r="M15" s="28" t="s">
        <v>137</v>
      </c>
      <c r="N15" s="2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3.5" hidden="false" customHeight="true" outlineLevel="0" collapsed="false">
      <c r="A16" s="47" t="s">
        <v>138</v>
      </c>
      <c r="B16" s="48" t="s">
        <v>139</v>
      </c>
      <c r="C16" s="49" t="n">
        <f aca="false" t="array" ref="C16:C16">2940916000/Summary!$B$3</f>
        <v>2940916</v>
      </c>
      <c r="D16" s="50" t="n">
        <v>2940916</v>
      </c>
      <c r="E16" s="51" t="n">
        <f aca="false" t="array" ref="E16:E16">IF(OR(D16="",C16=""),"",IF(D16=0,IF(C16=0,0,1),(C16-D16)/ABS(D16)))</f>
        <v>0</v>
      </c>
      <c r="F16" s="52" t="n">
        <f aca="false" t="array" ref="F16:F16">IF(E16="","",IF(ABS(E16)&lt;=Summary!$B$4,1,0))</f>
        <v>1</v>
      </c>
      <c r="G16" s="49" t="n">
        <f aca="false" t="array" ref="G16:G16">2812966000/Summary!$B$3</f>
        <v>2812966</v>
      </c>
      <c r="H16" s="50" t="n">
        <v>2812966</v>
      </c>
      <c r="I16" s="51" t="n">
        <f aca="false" t="array" ref="I16:I16">IF(OR(H16="",G16=""),"",IF(H16=0,IF(G16=0,0,1),(G16-H16)/ABS(H16)))</f>
        <v>0</v>
      </c>
      <c r="J16" s="53" t="n">
        <f aca="false" t="array" ref="J16:J16">IF(I16="","",IF(ABS(I16)&lt;=Summary!$B$4,1,0))</f>
        <v>1</v>
      </c>
      <c r="K16" s="54"/>
      <c r="L16" s="55"/>
      <c r="M16" s="28" t="s">
        <v>140</v>
      </c>
      <c r="N16" s="2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3.5" hidden="false" customHeight="true" outlineLevel="0" collapsed="false">
      <c r="A17" s="47" t="s">
        <v>141</v>
      </c>
      <c r="B17" s="48" t="s">
        <v>142</v>
      </c>
      <c r="C17" s="49" t="n">
        <f aca="false" t="array" ref="C17:C17">2393558000/Summary!$B$3</f>
        <v>2393558</v>
      </c>
      <c r="D17" s="50" t="n">
        <v>2393558</v>
      </c>
      <c r="E17" s="51" t="n">
        <f aca="false" t="array" ref="E17:E17">IF(OR(D17="",C17=""),"",IF(D17=0,IF(C17=0,0,1),(C17-D17)/ABS(D17)))</f>
        <v>0</v>
      </c>
      <c r="F17" s="52" t="n">
        <f aca="false" t="array" ref="F17:F17">IF(E17="","",IF(ABS(E17)&lt;=Summary!$B$4,1,0))</f>
        <v>1</v>
      </c>
      <c r="G17" s="49" t="n">
        <f aca="false" t="array" ref="G17:G17">2397179000/Summary!$B$3</f>
        <v>2397179</v>
      </c>
      <c r="H17" s="50" t="n">
        <v>2397179</v>
      </c>
      <c r="I17" s="51" t="n">
        <f aca="false" t="array" ref="I17:I17">IF(OR(H17="",G17=""),"",IF(H17=0,IF(G17=0,0,1),(G17-H17)/ABS(H17)))</f>
        <v>0</v>
      </c>
      <c r="J17" s="53" t="n">
        <f aca="false" t="array" ref="J17:J17">IF(I17="","",IF(ABS(I17)&lt;=Summary!$B$4,1,0))</f>
        <v>1</v>
      </c>
      <c r="K17" s="54"/>
      <c r="L17" s="55"/>
      <c r="M17" s="28" t="s">
        <v>143</v>
      </c>
      <c r="N17" s="2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3.5" hidden="false" customHeight="true" outlineLevel="0" collapsed="false">
      <c r="A18" s="47" t="s">
        <v>144</v>
      </c>
      <c r="B18" s="48" t="s">
        <v>145</v>
      </c>
      <c r="C18" s="49" t="n">
        <f aca="false" t="array" ref="C18:C18">197431000/Summary!$B$3</f>
        <v>197431</v>
      </c>
      <c r="D18" s="50" t="n">
        <v>197431</v>
      </c>
      <c r="E18" s="51" t="n">
        <f aca="false" t="array" ref="E18:E18">IF(OR(D18="",C18=""),"",IF(D18=0,IF(C18=0,0,1),(C18-D18)/ABS(D18)))</f>
        <v>0</v>
      </c>
      <c r="F18" s="52" t="n">
        <f aca="false" t="array" ref="F18:F18">IF(E18="","",IF(ABS(E18)&lt;=Summary!$B$4,1,0))</f>
        <v>1</v>
      </c>
      <c r="G18" s="49" t="n">
        <f aca="false" t="array" ref="G18:G18">222125000/Summary!$B$3</f>
        <v>222125</v>
      </c>
      <c r="H18" s="50" t="n">
        <v>222125</v>
      </c>
      <c r="I18" s="51" t="n">
        <f aca="false" t="array" ref="I18:I18">IF(OR(H18="",G18=""),"",IF(H18=0,IF(G18=0,0,1),(G18-H18)/ABS(H18)))</f>
        <v>0</v>
      </c>
      <c r="J18" s="53" t="n">
        <f aca="false" t="array" ref="J18:J18">IF(I18="","",IF(ABS(I18)&lt;=Summary!$B$4,1,0))</f>
        <v>1</v>
      </c>
      <c r="K18" s="54"/>
      <c r="L18" s="55"/>
      <c r="M18" s="28" t="s">
        <v>146</v>
      </c>
      <c r="N18" s="2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3.5" hidden="false" customHeight="true" outlineLevel="0" collapsed="false">
      <c r="A19" s="47" t="s">
        <v>147</v>
      </c>
      <c r="B19" s="48" t="s">
        <v>148</v>
      </c>
      <c r="C19" s="49" t="n">
        <f aca="false" t="array" ref="C19:C19">336684000/Summary!$B$3</f>
        <v>336684</v>
      </c>
      <c r="D19" s="50" t="n">
        <v>336684</v>
      </c>
      <c r="E19" s="51" t="n">
        <f aca="false" t="array" ref="E19:E19">IF(OR(D19="",C19=""),"",IF(D19=0,IF(C19=0,0,1),(C19-D19)/ABS(D19)))</f>
        <v>0</v>
      </c>
      <c r="F19" s="52" t="n">
        <f aca="false" t="array" ref="F19:F19">IF(E19="","",IF(ABS(E19)&lt;=Summary!$B$4,1,0))</f>
        <v>1</v>
      </c>
      <c r="G19" s="49" t="n">
        <f aca="false" t="array" ref="G19:G19">157249000/Summary!$B$3</f>
        <v>157249</v>
      </c>
      <c r="H19" s="50" t="n">
        <v>157249</v>
      </c>
      <c r="I19" s="51" t="n">
        <f aca="false" t="array" ref="I19:I19">IF(OR(H19="",G19=""),"",IF(H19=0,IF(G19=0,0,1),(G19-H19)/ABS(H19)))</f>
        <v>0</v>
      </c>
      <c r="J19" s="53" t="n">
        <f aca="false" t="array" ref="J19:J19">IF(I19="","",IF(ABS(I19)&lt;=Summary!$B$4,1,0))</f>
        <v>1</v>
      </c>
      <c r="K19" s="54"/>
      <c r="L19" s="55"/>
      <c r="M19" s="28" t="s">
        <v>149</v>
      </c>
      <c r="N19" s="2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3.5" hidden="false" customHeight="true" outlineLevel="0" collapsed="false">
      <c r="A20" s="47" t="s">
        <v>150</v>
      </c>
      <c r="B20" s="48" t="s">
        <v>151</v>
      </c>
      <c r="C20" s="49" t="n">
        <f aca="false" t="array" ref="C20:C20">33660000/Summary!$B$3</f>
        <v>33660</v>
      </c>
      <c r="D20" s="50" t="n">
        <v>33660</v>
      </c>
      <c r="E20" s="51" t="n">
        <f aca="false" t="array" ref="E20:E20">IF(OR(D20="",C20=""),"",IF(D20=0,IF(C20=0,0,1),(C20-D20)/ABS(D20)))</f>
        <v>0</v>
      </c>
      <c r="F20" s="52" t="n">
        <f aca="false" t="array" ref="F20:F20">IF(E20="","",IF(ABS(E20)&lt;=Summary!$B$4,1,0))</f>
        <v>1</v>
      </c>
      <c r="G20" s="49" t="n">
        <f aca="false" t="array" ref="G20:G20">40966000/Summary!$B$3</f>
        <v>40966</v>
      </c>
      <c r="H20" s="50" t="n">
        <v>40966</v>
      </c>
      <c r="I20" s="51" t="n">
        <f aca="false" t="array" ref="I20:I20">IF(OR(H20="",G20=""),"",IF(H20=0,IF(G20=0,0,1),(G20-H20)/ABS(H20)))</f>
        <v>0</v>
      </c>
      <c r="J20" s="53" t="n">
        <f aca="false" t="array" ref="J20:J20">IF(I20="","",IF(ABS(I20)&lt;=Summary!$B$4,1,0))</f>
        <v>1</v>
      </c>
      <c r="K20" s="54"/>
      <c r="L20" s="55"/>
      <c r="M20" s="28" t="s">
        <v>152</v>
      </c>
      <c r="N20" s="2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3.5" hidden="false" customHeight="true" outlineLevel="0" collapsed="false">
      <c r="A21" s="47" t="s">
        <v>153</v>
      </c>
      <c r="B21" s="48" t="s">
        <v>154</v>
      </c>
      <c r="C21" s="49" t="n">
        <f aca="false" t="array" ref="C21:C21">261731000/Summary!$B$3</f>
        <v>261731</v>
      </c>
      <c r="D21" s="50" t="n">
        <v>261731</v>
      </c>
      <c r="E21" s="51" t="n">
        <f aca="false" t="array" ref="E21:E21">IF(OR(D21="",C21=""),"",IF(D21=0,IF(C21=0,0,1),(C21-D21)/ABS(D21)))</f>
        <v>0</v>
      </c>
      <c r="F21" s="52" t="n">
        <f aca="false" t="array" ref="F21:F21">IF(E21="","",IF(ABS(E21)&lt;=Summary!$B$4,1,0))</f>
        <v>1</v>
      </c>
      <c r="G21" s="49" t="n">
        <f aca="false" t="array" ref="G21:G21">246520000/Summary!$B$3</f>
        <v>246520</v>
      </c>
      <c r="H21" s="50" t="n">
        <v>246520</v>
      </c>
      <c r="I21" s="51" t="n">
        <f aca="false" t="array" ref="I21:I21">IF(OR(H21="",G21=""),"",IF(H21=0,IF(G21=0,0,1),(G21-H21)/ABS(H21)))</f>
        <v>0</v>
      </c>
      <c r="J21" s="53" t="n">
        <f aca="false" t="array" ref="J21:J21">IF(I21="","",IF(ABS(I21)&lt;=Summary!$B$4,1,0))</f>
        <v>1</v>
      </c>
      <c r="K21" s="54"/>
      <c r="L21" s="55"/>
      <c r="M21" s="28" t="s">
        <v>155</v>
      </c>
      <c r="N21" s="2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3.5" hidden="false" customHeight="true" outlineLevel="0" collapsed="false">
      <c r="A22" s="47" t="s">
        <v>156</v>
      </c>
      <c r="B22" s="48" t="s">
        <v>157</v>
      </c>
      <c r="C22" s="49" t="n">
        <f aca="false" t="array" ref="C22:C22">7375216000/Summary!$B$3</f>
        <v>7375216</v>
      </c>
      <c r="D22" s="50" t="n">
        <v>7375216</v>
      </c>
      <c r="E22" s="51" t="n">
        <f aca="false" t="array" ref="E22:E22">IF(OR(D22="",C22=""),"",IF(D22=0,IF(C22=0,0,1),(C22-D22)/ABS(D22)))</f>
        <v>0</v>
      </c>
      <c r="F22" s="52" t="n">
        <f aca="false" t="array" ref="F22:F22">IF(E22="","",IF(ABS(E22)&lt;=Summary!$B$4,1,0))</f>
        <v>1</v>
      </c>
      <c r="G22" s="49" t="n">
        <f aca="false" t="array" ref="G22:G22">7545095000/Summary!$B$3</f>
        <v>7545095</v>
      </c>
      <c r="H22" s="50" t="n">
        <v>7545095</v>
      </c>
      <c r="I22" s="51" t="n">
        <f aca="false" t="array" ref="I22:I22">IF(OR(H22="",G22=""),"",IF(H22=0,IF(G22=0,0,1),(G22-H22)/ABS(H22)))</f>
        <v>0</v>
      </c>
      <c r="J22" s="53" t="n">
        <f aca="false" t="array" ref="J22:J22">IF(I22="","",IF(ABS(I22)&lt;=Summary!$B$4,1,0))</f>
        <v>1</v>
      </c>
      <c r="K22" s="54"/>
      <c r="L22" s="55"/>
      <c r="M22" s="28" t="s">
        <v>158</v>
      </c>
      <c r="N22" s="2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3.5" hidden="false" customHeight="true" outlineLevel="0" collapsed="false">
      <c r="A23" s="56" t="s">
        <v>159</v>
      </c>
      <c r="B23" s="48" t="s">
        <v>160</v>
      </c>
      <c r="C23" s="49" t="n">
        <f aca="false" t="array" ref="C23:C23">17285268000/Summary!$B$3</f>
        <v>17285268</v>
      </c>
      <c r="D23" s="50" t="n">
        <f aca="false" t="array" ref="D23:D23">SUM(D15:D22)</f>
        <v>17285268</v>
      </c>
      <c r="E23" s="51" t="n">
        <f aca="false" t="array" ref="E23:E23">IF(OR(D23="",C23=""),"",IF(D23=0,IF(C23=0,0,1),(C23-D23)/ABS(D23)))</f>
        <v>0</v>
      </c>
      <c r="F23" s="52" t="n">
        <f aca="false" t="array" ref="F23:F23">IF(E23="","",IF(ABS(E23)&lt;=Summary!$B$4,1,0))</f>
        <v>1</v>
      </c>
      <c r="G23" s="49" t="n">
        <f aca="false" t="array" ref="G23:G23">17480103000/Summary!$B$3</f>
        <v>17480103</v>
      </c>
      <c r="H23" s="50" t="n">
        <f aca="false" t="array" ref="H23:H23">SUM(H15:H22)</f>
        <v>17480103</v>
      </c>
      <c r="I23" s="51" t="n">
        <f aca="false" t="array" ref="I23:I23">IF(OR(H23="",G23=""),"",IF(H23=0,IF(G23=0,0,1),(G23-H23)/ABS(H23)))</f>
        <v>0</v>
      </c>
      <c r="J23" s="53" t="n">
        <f aca="false" t="array" ref="J23:J23">IF(I23="","",IF(ABS(I23)&lt;=Summary!$B$4,1,0))</f>
        <v>1</v>
      </c>
      <c r="K23" s="54"/>
      <c r="L23" s="55"/>
      <c r="M23" s="28" t="s">
        <v>161</v>
      </c>
      <c r="N23" s="2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3.5" hidden="false" customHeight="true" outlineLevel="0" collapsed="false">
      <c r="A24" s="57" t="s">
        <v>162</v>
      </c>
      <c r="B24" s="58"/>
      <c r="C24" s="58"/>
      <c r="D24" s="59"/>
      <c r="E24" s="58"/>
      <c r="F24" s="58"/>
      <c r="G24" s="58"/>
      <c r="H24" s="59"/>
      <c r="I24" s="58"/>
      <c r="J24" s="58"/>
      <c r="K24" s="59"/>
      <c r="L24" s="58"/>
      <c r="M24" s="2"/>
      <c r="N24" s="2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3.5" hidden="false" customHeight="true" outlineLevel="0" collapsed="false">
      <c r="A25" s="38" t="s">
        <v>163</v>
      </c>
      <c r="B25" s="39" t="s">
        <v>164</v>
      </c>
      <c r="C25" s="40" t="n">
        <f aca="false" t="array" ref="C25:C25">547200000/Summary!$B$3</f>
        <v>547200</v>
      </c>
      <c r="D25" s="41" t="n">
        <v>547200</v>
      </c>
      <c r="E25" s="42" t="n">
        <f aca="false" t="array" ref="E25:E25">IF(OR(D25="",C25=""),"",IF(D25=0,IF(C25=0,0,1),(C25-D25)/ABS(D25)))</f>
        <v>0</v>
      </c>
      <c r="F25" s="43" t="n">
        <f aca="false" t="array" ref="F25:F25">IF(E25="","",IF(ABS(E25)&lt;=Summary!$B$4,1,0))</f>
        <v>1</v>
      </c>
      <c r="G25" s="40" t="n">
        <f aca="false" t="array" ref="G25:G25">696148000/Summary!$B$3</f>
        <v>696148</v>
      </c>
      <c r="H25" s="41" t="n">
        <v>696148</v>
      </c>
      <c r="I25" s="42" t="n">
        <f aca="false" t="array" ref="I25:I25">IF(OR(H25="",G25=""),"",IF(H25=0,IF(G25=0,0,1),(G25-H25)/ABS(H25)))</f>
        <v>0</v>
      </c>
      <c r="J25" s="44" t="n">
        <f aca="false" t="array" ref="J25:J25">IF(I25="","",IF(ABS(I25)&lt;=Summary!$B$4,1,0))</f>
        <v>1</v>
      </c>
      <c r="K25" s="45"/>
      <c r="L25" s="46"/>
      <c r="M25" s="28" t="s">
        <v>165</v>
      </c>
      <c r="N25" s="2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3.5" hidden="false" customHeight="true" outlineLevel="0" collapsed="false">
      <c r="A26" s="47" t="s">
        <v>166</v>
      </c>
      <c r="B26" s="48" t="s">
        <v>167</v>
      </c>
      <c r="C26" s="49" t="n">
        <f aca="false" t="array" ref="C26:C26">934145000/Summary!$B$3</f>
        <v>934145</v>
      </c>
      <c r="D26" s="50" t="n">
        <v>934145</v>
      </c>
      <c r="E26" s="51" t="n">
        <f aca="false" t="array" ref="E26:E26">IF(OR(D26="",C26=""),"",IF(D26=0,IF(C26=0,0,1),(C26-D26)/ABS(D26)))</f>
        <v>0</v>
      </c>
      <c r="F26" s="52" t="n">
        <f aca="false" t="array" ref="F26:F26">IF(E26="","",IF(ABS(E26)&lt;=Summary!$B$4,1,0))</f>
        <v>1</v>
      </c>
      <c r="G26" s="49" t="n">
        <f aca="false" t="array" ref="G26:G26">893024000/Summary!$B$3</f>
        <v>893024</v>
      </c>
      <c r="H26" s="50" t="n">
        <v>893024</v>
      </c>
      <c r="I26" s="51" t="n">
        <f aca="false" t="array" ref="I26:I26">IF(OR(H26="",G26=""),"",IF(H26=0,IF(G26=0,0,1),(G26-H26)/ABS(H26)))</f>
        <v>0</v>
      </c>
      <c r="J26" s="53" t="n">
        <f aca="false" t="array" ref="J26:J26">IF(I26="","",IF(ABS(I26)&lt;=Summary!$B$4,1,0))</f>
        <v>1</v>
      </c>
      <c r="K26" s="54"/>
      <c r="L26" s="55"/>
      <c r="M26" s="28" t="s">
        <v>168</v>
      </c>
      <c r="N26" s="2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3.5" hidden="false" customHeight="true" outlineLevel="0" collapsed="false">
      <c r="A27" s="47" t="s">
        <v>169</v>
      </c>
      <c r="B27" s="48" t="s">
        <v>170</v>
      </c>
      <c r="C27" s="49" t="n">
        <f aca="false" t="array" ref="C27:C27">800484000/Summary!$B$3</f>
        <v>800484</v>
      </c>
      <c r="D27" s="50" t="n">
        <v>800484</v>
      </c>
      <c r="E27" s="51" t="n">
        <f aca="false" t="array" ref="E27:E27">IF(OR(D27="",C27=""),"",IF(D27=0,IF(C27=0,0,1),(C27-D27)/ABS(D27)))</f>
        <v>0</v>
      </c>
      <c r="F27" s="52" t="n">
        <f aca="false" t="array" ref="F27:F27">IF(E27="","",IF(ABS(E27)&lt;=Summary!$B$4,1,0))</f>
        <v>1</v>
      </c>
      <c r="G27" s="49" t="n">
        <f aca="false" t="array" ref="G27:G27">793478000/Summary!$B$3</f>
        <v>793478</v>
      </c>
      <c r="H27" s="50" t="n">
        <v>793478</v>
      </c>
      <c r="I27" s="51" t="n">
        <f aca="false" t="array" ref="I27:I27">IF(OR(H27="",G27=""),"",IF(H27=0,IF(G27=0,0,1),(G27-H27)/ABS(H27)))</f>
        <v>0</v>
      </c>
      <c r="J27" s="53" t="n">
        <f aca="false" t="array" ref="J27:J27">IF(I27="","",IF(ABS(I27)&lt;=Summary!$B$4,1,0))</f>
        <v>1</v>
      </c>
      <c r="K27" s="54"/>
      <c r="L27" s="55"/>
      <c r="M27" s="28" t="s">
        <v>171</v>
      </c>
      <c r="N27" s="2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3.5" hidden="false" customHeight="true" outlineLevel="0" collapsed="false">
      <c r="A28" s="47" t="s">
        <v>172</v>
      </c>
      <c r="B28" s="48" t="s">
        <v>173</v>
      </c>
      <c r="C28" s="49" t="n">
        <f aca="false" t="array" ref="C28:C28">410411000/Summary!$B$3</f>
        <v>410411</v>
      </c>
      <c r="D28" s="50" t="n">
        <v>410411</v>
      </c>
      <c r="E28" s="51" t="n">
        <f aca="false" t="array" ref="E28:E28">IF(OR(D28="",C28=""),"",IF(D28=0,IF(C28=0,0,1),(C28-D28)/ABS(D28)))</f>
        <v>0</v>
      </c>
      <c r="F28" s="52" t="n">
        <f aca="false" t="array" ref="F28:F28">IF(E28="","",IF(ABS(E28)&lt;=Summary!$B$4,1,0))</f>
        <v>1</v>
      </c>
      <c r="G28" s="49" t="n">
        <f aca="false" t="array" ref="G28:G28">425484000/Summary!$B$3</f>
        <v>425484</v>
      </c>
      <c r="H28" s="50" t="n">
        <v>425484</v>
      </c>
      <c r="I28" s="51" t="n">
        <f aca="false" t="array" ref="I28:I28">IF(OR(H28="",G28=""),"",IF(H28=0,IF(G28=0,0,1),(G28-H28)/ABS(H28)))</f>
        <v>0</v>
      </c>
      <c r="J28" s="53" t="n">
        <f aca="false" t="array" ref="J28:J28">IF(I28="","",IF(ABS(I28)&lt;=Summary!$B$4,1,0))</f>
        <v>1</v>
      </c>
      <c r="K28" s="54"/>
      <c r="L28" s="55"/>
      <c r="M28" s="28" t="s">
        <v>174</v>
      </c>
      <c r="N28" s="2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3.5" hidden="false" customHeight="true" outlineLevel="0" collapsed="false">
      <c r="A29" s="47" t="s">
        <v>175</v>
      </c>
      <c r="B29" s="48" t="s">
        <v>176</v>
      </c>
      <c r="C29" s="49" t="n">
        <f aca="false" t="array" ref="C29:C29">270867000/Summary!$B$3</f>
        <v>270867</v>
      </c>
      <c r="D29" s="50" t="n">
        <v>270867</v>
      </c>
      <c r="E29" s="51" t="n">
        <f aca="false" t="array" ref="E29:E29">IF(OR(D29="",C29=""),"",IF(D29=0,IF(C29=0,0,1),(C29-D29)/ABS(D29)))</f>
        <v>0</v>
      </c>
      <c r="F29" s="52" t="n">
        <f aca="false" t="array" ref="F29:F29">IF(E29="","",IF(ABS(E29)&lt;=Summary!$B$4,1,0))</f>
        <v>1</v>
      </c>
      <c r="G29" s="49" t="n">
        <f aca="false" t="array" ref="G29:G29">109201000/Summary!$B$3</f>
        <v>109201</v>
      </c>
      <c r="H29" s="50" t="n">
        <v>109201</v>
      </c>
      <c r="I29" s="51" t="n">
        <f aca="false" t="array" ref="I29:I29">IF(OR(H29="",G29=""),"",IF(H29=0,IF(G29=0,0,1),(G29-H29)/ABS(H29)))</f>
        <v>0</v>
      </c>
      <c r="J29" s="53" t="n">
        <f aca="false" t="array" ref="J29:J29">IF(I29="","",IF(ABS(I29)&lt;=Summary!$B$4,1,0))</f>
        <v>1</v>
      </c>
      <c r="K29" s="54"/>
      <c r="L29" s="55"/>
      <c r="M29" s="28" t="s">
        <v>177</v>
      </c>
      <c r="N29" s="2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3.5" hidden="false" customHeight="true" outlineLevel="0" collapsed="false">
      <c r="A30" s="47" t="s">
        <v>178</v>
      </c>
      <c r="B30" s="48" t="s">
        <v>179</v>
      </c>
      <c r="C30" s="49" t="n">
        <f aca="false" t="array" ref="C30:C30">10303000/Summary!$B$3</f>
        <v>10303</v>
      </c>
      <c r="D30" s="50" t="n">
        <v>10303</v>
      </c>
      <c r="E30" s="51" t="n">
        <f aca="false" t="array" ref="E30:E30">IF(OR(D30="",C30=""),"",IF(D30=0,IF(C30=0,0,1),(C30-D30)/ABS(D30)))</f>
        <v>0</v>
      </c>
      <c r="F30" s="52" t="n">
        <f aca="false" t="array" ref="F30:F30">IF(E30="","",IF(ABS(E30)&lt;=Summary!$B$4,1,0))</f>
        <v>1</v>
      </c>
      <c r="G30" s="49" t="n">
        <f aca="false" t="array" ref="G30:G30">24359000/Summary!$B$3</f>
        <v>24359</v>
      </c>
      <c r="H30" s="50" t="n">
        <v>24359</v>
      </c>
      <c r="I30" s="51" t="n">
        <f aca="false" t="array" ref="I30:I30">IF(OR(H30="",G30=""),"",IF(H30=0,IF(G30=0,0,1),(G30-H30)/ABS(H30)))</f>
        <v>0</v>
      </c>
      <c r="J30" s="53" t="n">
        <f aca="false" t="array" ref="J30:J30">IF(I30="","",IF(ABS(I30)&lt;=Summary!$B$4,1,0))</f>
        <v>1</v>
      </c>
      <c r="K30" s="54"/>
      <c r="L30" s="55"/>
      <c r="M30" s="28" t="s">
        <v>180</v>
      </c>
      <c r="N30" s="2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3.5" hidden="false" customHeight="true" outlineLevel="0" collapsed="false">
      <c r="A31" s="47" t="s">
        <v>181</v>
      </c>
      <c r="B31" s="48" t="s">
        <v>182</v>
      </c>
      <c r="C31" s="49" t="n">
        <f aca="false" t="array" ref="C31:C31">0/Summary!$B$3</f>
        <v>0</v>
      </c>
      <c r="D31" s="50" t="n">
        <v>0</v>
      </c>
      <c r="E31" s="51" t="n">
        <f aca="false" t="array" ref="E31:E31">IF(OR(D31="",C31=""),"",IF(D31=0,IF(C31=0,0,1),(C31-D31)/ABS(D31)))</f>
        <v>0</v>
      </c>
      <c r="F31" s="52" t="n">
        <f aca="false" t="array" ref="F31:F31">IF(E31="","",IF(ABS(E31)&lt;=Summary!$B$4,1,0))</f>
        <v>1</v>
      </c>
      <c r="G31" s="49" t="n">
        <f aca="false" t="array" ref="G31:G31">199940000/Summary!$B$3</f>
        <v>199940</v>
      </c>
      <c r="H31" s="50" t="n">
        <v>199940</v>
      </c>
      <c r="I31" s="51" t="n">
        <f aca="false" t="array" ref="I31:I31">IF(OR(H31="",G31=""),"",IF(H31=0,IF(G31=0,0,1),(G31-H31)/ABS(H31)))</f>
        <v>0</v>
      </c>
      <c r="J31" s="53" t="n">
        <f aca="false" t="array" ref="J31:J31">IF(I31="","",IF(ABS(I31)&lt;=Summary!$B$4,1,0))</f>
        <v>1</v>
      </c>
      <c r="K31" s="54"/>
      <c r="L31" s="55"/>
      <c r="M31" s="28" t="s">
        <v>183</v>
      </c>
      <c r="N31" s="2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3.5" hidden="false" customHeight="true" outlineLevel="0" collapsed="false">
      <c r="A32" s="56" t="s">
        <v>184</v>
      </c>
      <c r="B32" s="48" t="s">
        <v>185</v>
      </c>
      <c r="C32" s="49" t="n">
        <f aca="false" t="array" ref="C32:C32">2973410000/Summary!$B$3</f>
        <v>2973410</v>
      </c>
      <c r="D32" s="50" t="n">
        <f aca="false" t="array" ref="D32:D32">SUM(D25:D31)</f>
        <v>2973410</v>
      </c>
      <c r="E32" s="51" t="n">
        <f aca="false" t="array" ref="E32:E32">IF(OR(D32="",C32=""),"",IF(D32=0,IF(C32=0,0,1),(C32-D32)/ABS(D32)))</f>
        <v>0</v>
      </c>
      <c r="F32" s="52" t="n">
        <f aca="false" t="array" ref="F32:F32">IF(E32="","",IF(ABS(E32)&lt;=Summary!$B$4,1,0))</f>
        <v>1</v>
      </c>
      <c r="G32" s="49" t="n">
        <f aca="false" t="array" ref="G32:G32">3141634000/Summary!$B$3</f>
        <v>3141634</v>
      </c>
      <c r="H32" s="50" t="n">
        <f aca="false" t="array" ref="H32:H32">SUM(H25:H31)</f>
        <v>3141634</v>
      </c>
      <c r="I32" s="51" t="n">
        <f aca="false" t="array" ref="I32:I32">IF(OR(H32="",G32=""),"",IF(H32=0,IF(G32=0,0,1),(G32-H32)/ABS(H32)))</f>
        <v>0</v>
      </c>
      <c r="J32" s="53" t="n">
        <f aca="false" t="array" ref="J32:J32">IF(I32="","",IF(ABS(I32)&lt;=Summary!$B$4,1,0))</f>
        <v>1</v>
      </c>
      <c r="K32" s="54"/>
      <c r="L32" s="55"/>
      <c r="M32" s="28" t="s">
        <v>186</v>
      </c>
      <c r="N32" s="2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3.5" hidden="false" customHeight="true" outlineLevel="0" collapsed="false">
      <c r="A33" s="47" t="s">
        <v>187</v>
      </c>
      <c r="B33" s="48" t="s">
        <v>188</v>
      </c>
      <c r="C33" s="49" t="n">
        <f aca="false" t="array" ref="C33:C33">2209655000/Summary!$B$3</f>
        <v>2209655</v>
      </c>
      <c r="D33" s="50" t="n">
        <v>2209655</v>
      </c>
      <c r="E33" s="51" t="n">
        <f aca="false" t="array" ref="E33:E33">IF(OR(D33="",C33=""),"",IF(D33=0,IF(C33=0,0,1),(C33-D33)/ABS(D33)))</f>
        <v>0</v>
      </c>
      <c r="F33" s="52" t="n">
        <f aca="false" t="array" ref="F33:F33">IF(E33="","",IF(ABS(E33)&lt;=Summary!$B$4,1,0))</f>
        <v>1</v>
      </c>
      <c r="G33" s="49" t="n">
        <f aca="false" t="array" ref="G33:G33">2175658000/Summary!$B$3</f>
        <v>2175658</v>
      </c>
      <c r="H33" s="50" t="n">
        <v>2175658</v>
      </c>
      <c r="I33" s="51" t="n">
        <f aca="false" t="array" ref="I33:I33">IF(OR(H33="",G33=""),"",IF(H33=0,IF(G33=0,0,1),(G33-H33)/ABS(H33)))</f>
        <v>0</v>
      </c>
      <c r="J33" s="53" t="n">
        <f aca="false" t="array" ref="J33:J33">IF(I33="","",IF(ABS(I33)&lt;=Summary!$B$4,1,0))</f>
        <v>1</v>
      </c>
      <c r="K33" s="54"/>
      <c r="L33" s="55"/>
      <c r="M33" s="28" t="s">
        <v>189</v>
      </c>
      <c r="N33" s="2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3.5" hidden="false" customHeight="true" outlineLevel="0" collapsed="false">
      <c r="A34" s="47" t="s">
        <v>190</v>
      </c>
      <c r="B34" s="48" t="s">
        <v>191</v>
      </c>
      <c r="C34" s="49" t="n">
        <f aca="false" t="array" ref="C34:C34">9175903000/Summary!$B$3</f>
        <v>9175903</v>
      </c>
      <c r="D34" s="50" t="n">
        <v>9175903</v>
      </c>
      <c r="E34" s="51" t="n">
        <f aca="false" t="array" ref="E34:E34">IF(OR(D34="",C34=""),"",IF(D34=0,IF(C34=0,0,1),(C34-D34)/ABS(D34)))</f>
        <v>0</v>
      </c>
      <c r="F34" s="52" t="n">
        <f aca="false" t="array" ref="F34:F34">IF(E34="","",IF(ABS(E34)&lt;=Summary!$B$4,1,0))</f>
        <v>1</v>
      </c>
      <c r="G34" s="49" t="n">
        <f aca="false" t="array" ref="G34:G34">10163988000/Summary!$B$3</f>
        <v>10163988</v>
      </c>
      <c r="H34" s="50" t="n">
        <v>10163988</v>
      </c>
      <c r="I34" s="51" t="n">
        <f aca="false" t="array" ref="I34:I34">IF(OR(H34="",G34=""),"",IF(H34=0,IF(G34=0,0,1),(G34-H34)/ABS(H34)))</f>
        <v>0</v>
      </c>
      <c r="J34" s="53" t="n">
        <f aca="false" t="array" ref="J34:J34">IF(I34="","",IF(ABS(I34)&lt;=Summary!$B$4,1,0))</f>
        <v>1</v>
      </c>
      <c r="K34" s="54"/>
      <c r="L34" s="55"/>
      <c r="M34" s="28" t="s">
        <v>192</v>
      </c>
      <c r="N34" s="2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3.5" hidden="false" customHeight="true" outlineLevel="0" collapsed="false">
      <c r="A35" s="47" t="s">
        <v>193</v>
      </c>
      <c r="B35" s="48" t="s">
        <v>194</v>
      </c>
      <c r="C35" s="49" t="n">
        <f aca="false" t="array" ref="C35:C35">169588000/Summary!$B$3</f>
        <v>169588</v>
      </c>
      <c r="D35" s="50" t="n">
        <v>169588</v>
      </c>
      <c r="E35" s="51" t="n">
        <f aca="false" t="array" ref="E35:E35">IF(OR(D35="",C35=""),"",IF(D35=0,IF(C35=0,0,1),(C35-D35)/ABS(D35)))</f>
        <v>0</v>
      </c>
      <c r="F35" s="52" t="n">
        <f aca="false" t="array" ref="F35:F35">IF(E35="","",IF(ABS(E35)&lt;=Summary!$B$4,1,0))</f>
        <v>1</v>
      </c>
      <c r="G35" s="49" t="n">
        <f aca="false" t="array" ref="G35:G35">83516000/Summary!$B$3</f>
        <v>83516</v>
      </c>
      <c r="H35" s="50" t="n">
        <v>83516</v>
      </c>
      <c r="I35" s="51" t="n">
        <f aca="false" t="array" ref="I35:I35">IF(OR(H35="",G35=""),"",IF(H35=0,IF(G35=0,0,1),(G35-H35)/ABS(H35)))</f>
        <v>0</v>
      </c>
      <c r="J35" s="53" t="n">
        <f aca="false" t="array" ref="J35:J35">IF(I35="","",IF(ABS(I35)&lt;=Summary!$B$4,1,0))</f>
        <v>1</v>
      </c>
      <c r="K35" s="54"/>
      <c r="L35" s="55"/>
      <c r="M35" s="28" t="s">
        <v>195</v>
      </c>
      <c r="N35" s="2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3.5" hidden="false" customHeight="true" outlineLevel="0" collapsed="false">
      <c r="A36" s="47" t="s">
        <v>196</v>
      </c>
      <c r="B36" s="48" t="s">
        <v>197</v>
      </c>
      <c r="C36" s="49" t="n">
        <f aca="false" t="array" ref="C36:C36">665361000/Summary!$B$3</f>
        <v>665361</v>
      </c>
      <c r="D36" s="50" t="n">
        <v>665361</v>
      </c>
      <c r="E36" s="51" t="n">
        <f aca="false" t="array" ref="E36:E36">IF(OR(D36="",C36=""),"",IF(D36=0,IF(C36=0,0,1),(C36-D36)/ABS(D36)))</f>
        <v>0</v>
      </c>
      <c r="F36" s="52" t="n">
        <f aca="false" t="array" ref="F36:F36">IF(E36="","",IF(ABS(E36)&lt;=Summary!$B$4,1,0))</f>
        <v>1</v>
      </c>
      <c r="G36" s="49" t="n">
        <f aca="false" t="array" ref="G36:G36">756869000/Summary!$B$3</f>
        <v>756869</v>
      </c>
      <c r="H36" s="50" t="n">
        <v>756869</v>
      </c>
      <c r="I36" s="51" t="n">
        <f aca="false" t="array" ref="I36:I36">IF(OR(H36="",G36=""),"",IF(H36=0,IF(G36=0,0,1),(G36-H36)/ABS(H36)))</f>
        <v>0</v>
      </c>
      <c r="J36" s="53" t="n">
        <f aca="false" t="array" ref="J36:J36">IF(I36="","",IF(ABS(I36)&lt;=Summary!$B$4,1,0))</f>
        <v>1</v>
      </c>
      <c r="K36" s="54"/>
      <c r="L36" s="55"/>
      <c r="M36" s="28" t="s">
        <v>198</v>
      </c>
      <c r="N36" s="2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3.5" hidden="false" customHeight="true" outlineLevel="0" collapsed="false">
      <c r="A37" s="56" t="s">
        <v>199</v>
      </c>
      <c r="B37" s="48" t="s">
        <v>200</v>
      </c>
      <c r="C37" s="49" t="n">
        <f aca="false" t="array" ref="C37:C37">15193917000/Summary!$B$3</f>
        <v>15193917</v>
      </c>
      <c r="D37" s="50" t="n">
        <f aca="false" t="array" ref="D37:D37">SUM(D32:D36)</f>
        <v>15193917</v>
      </c>
      <c r="E37" s="51" t="n">
        <f aca="false" t="array" ref="E37:E37">IF(OR(D37="",C37=""),"",IF(D37=0,IF(C37=0,0,1),(C37-D37)/ABS(D37)))</f>
        <v>0</v>
      </c>
      <c r="F37" s="52" t="n">
        <f aca="false" t="array" ref="F37:F37">IF(E37="","",IF(ABS(E37)&lt;=Summary!$B$4,1,0))</f>
        <v>1</v>
      </c>
      <c r="G37" s="49" t="n">
        <f aca="false" t="array" ref="G37:G37">16321665000/Summary!$B$3</f>
        <v>16321665</v>
      </c>
      <c r="H37" s="50" t="n">
        <f aca="false" t="array" ref="H37:H37">SUM(H32:H36)</f>
        <v>16321665</v>
      </c>
      <c r="I37" s="51" t="n">
        <f aca="false" t="array" ref="I37:I37">IF(OR(H37="",G37=""),"",IF(H37=0,IF(G37=0,0,1),(G37-H37)/ABS(H37)))</f>
        <v>0</v>
      </c>
      <c r="J37" s="53" t="n">
        <f aca="false" t="array" ref="J37:J37">IF(I37="","",IF(ABS(I37)&lt;=Summary!$B$4,1,0))</f>
        <v>1</v>
      </c>
      <c r="K37" s="54"/>
      <c r="L37" s="55"/>
      <c r="M37" s="28" t="s">
        <v>201</v>
      </c>
      <c r="N37" s="2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3.5" hidden="false" customHeight="true" outlineLevel="0" collapsed="false">
      <c r="A38" s="57" t="s">
        <v>202</v>
      </c>
      <c r="B38" s="58"/>
      <c r="C38" s="58"/>
      <c r="D38" s="59"/>
      <c r="E38" s="58"/>
      <c r="F38" s="58"/>
      <c r="G38" s="58"/>
      <c r="H38" s="59"/>
      <c r="I38" s="58"/>
      <c r="J38" s="58"/>
      <c r="K38" s="59"/>
      <c r="L38" s="58"/>
      <c r="M38" s="2"/>
      <c r="N38" s="2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3.5" hidden="false" customHeight="true" outlineLevel="0" collapsed="false">
      <c r="A39" s="38" t="s">
        <v>203</v>
      </c>
      <c r="B39" s="39" t="s">
        <v>204</v>
      </c>
      <c r="C39" s="40" t="n">
        <f aca="false" t="array" ref="C39:C39">1695483000/Summary!$B$3</f>
        <v>1695483</v>
      </c>
      <c r="D39" s="41" t="n">
        <v>1695483</v>
      </c>
      <c r="E39" s="42" t="n">
        <f aca="false" t="array" ref="E39:E39">IF(OR(D39="",C39=""),"",IF(D39=0,IF(C39=0,0,1),(C39-D39)/ABS(D39)))</f>
        <v>0</v>
      </c>
      <c r="F39" s="43" t="n">
        <f aca="false" t="array" ref="F39:F39">IF(E39="","",IF(ABS(E39)&lt;=Summary!$B$4,1,0))</f>
        <v>1</v>
      </c>
      <c r="G39" s="40" t="n">
        <f aca="false" t="array" ref="G39:G39">1532166000/Summary!$B$3</f>
        <v>1532166</v>
      </c>
      <c r="H39" s="41" t="n">
        <v>1532166</v>
      </c>
      <c r="I39" s="42" t="n">
        <f aca="false" t="array" ref="I39:I39">IF(OR(H39="",G39=""),"",IF(H39=0,IF(G39=0,0,1),(G39-H39)/ABS(H39)))</f>
        <v>0</v>
      </c>
      <c r="J39" s="44" t="n">
        <f aca="false" t="array" ref="J39:J39">IF(I39="","",IF(ABS(I39)&lt;=Summary!$B$4,1,0))</f>
        <v>1</v>
      </c>
      <c r="K39" s="45"/>
      <c r="L39" s="46"/>
      <c r="M39" s="28" t="s">
        <v>205</v>
      </c>
      <c r="N39" s="2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3.5" hidden="false" customHeight="true" outlineLevel="0" collapsed="false">
      <c r="A40" s="57" t="s">
        <v>206</v>
      </c>
      <c r="B40" s="58"/>
      <c r="C40" s="58"/>
      <c r="D40" s="59"/>
      <c r="E40" s="58"/>
      <c r="F40" s="58"/>
      <c r="G40" s="58"/>
      <c r="H40" s="59"/>
      <c r="I40" s="58"/>
      <c r="J40" s="58"/>
      <c r="K40" s="59"/>
      <c r="L40" s="58"/>
      <c r="M40" s="2"/>
      <c r="N40" s="2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3.5" hidden="false" customHeight="true" outlineLevel="0" collapsed="false">
      <c r="A41" s="38" t="s">
        <v>207</v>
      </c>
      <c r="B41" s="39" t="s">
        <v>208</v>
      </c>
      <c r="C41" s="40" t="n">
        <f aca="false" t="array" ref="C41:C41">0/Summary!$B$3</f>
        <v>0</v>
      </c>
      <c r="D41" s="41" t="n">
        <v>0</v>
      </c>
      <c r="E41" s="42" t="n">
        <f aca="false" t="array" ref="E41:E41">IF(OR(D41="",C41=""),"",IF(D41=0,IF(C41=0,0,1),(C41-D41)/ABS(D41)))</f>
        <v>0</v>
      </c>
      <c r="F41" s="43" t="n">
        <f aca="false" t="array" ref="F41:F41">IF(E41="","",IF(ABS(E41)&lt;=Summary!$B$4,1,0))</f>
        <v>1</v>
      </c>
      <c r="G41" s="40" t="n">
        <f aca="false" t="array" ref="G41:G41">0/Summary!$B$3</f>
        <v>0</v>
      </c>
      <c r="H41" s="41" t="n">
        <v>0</v>
      </c>
      <c r="I41" s="42" t="n">
        <f aca="false" t="array" ref="I41:I41">IF(OR(H41="",G41=""),"",IF(H41=0,IF(G41=0,0,1),(G41-H41)/ABS(H41)))</f>
        <v>0</v>
      </c>
      <c r="J41" s="44" t="n">
        <f aca="false" t="array" ref="J41:J41">IF(I41="","",IF(ABS(I41)&lt;=Summary!$B$4,1,0))</f>
        <v>1</v>
      </c>
      <c r="K41" s="45"/>
      <c r="L41" s="46"/>
      <c r="M41" s="28" t="s">
        <v>209</v>
      </c>
      <c r="N41" s="2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3.5" hidden="false" customHeight="true" outlineLevel="0" collapsed="false">
      <c r="A42" s="47" t="s">
        <v>210</v>
      </c>
      <c r="B42" s="48" t="s">
        <v>211</v>
      </c>
      <c r="C42" s="49" t="n">
        <f aca="false" t="array" ref="C42:C42">90000/Summary!$B$3</f>
        <v>90</v>
      </c>
      <c r="D42" s="50" t="n">
        <v>90</v>
      </c>
      <c r="E42" s="51" t="n">
        <f aca="false" t="array" ref="E42:E42">IF(OR(D42="",C42=""),"",IF(D42=0,IF(C42=0,0,1),(C42-D42)/ABS(D42)))</f>
        <v>0</v>
      </c>
      <c r="F42" s="52" t="n">
        <f aca="false" t="array" ref="F42:F42">IF(E42="","",IF(ABS(E42)&lt;=Summary!$B$4,1,0))</f>
        <v>1</v>
      </c>
      <c r="G42" s="49" t="n">
        <f aca="false" t="array" ref="G42:G42">69000/Summary!$B$3</f>
        <v>69</v>
      </c>
      <c r="H42" s="50" t="n">
        <v>69</v>
      </c>
      <c r="I42" s="51" t="n">
        <f aca="false" t="array" ref="I42:I42">IF(OR(H42="",G42=""),"",IF(H42=0,IF(G42=0,0,1),(G42-H42)/ABS(H42)))</f>
        <v>0</v>
      </c>
      <c r="J42" s="53" t="n">
        <f aca="false" t="array" ref="J42:J42">IF(I42="","",IF(ABS(I42)&lt;=Summary!$B$4,1,0))</f>
        <v>1</v>
      </c>
      <c r="K42" s="54"/>
      <c r="L42" s="55"/>
      <c r="M42" s="28" t="s">
        <v>212</v>
      </c>
      <c r="N42" s="2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3.5" hidden="false" customHeight="true" outlineLevel="0" collapsed="false">
      <c r="A43" s="47" t="s">
        <v>213</v>
      </c>
      <c r="B43" s="48" t="s">
        <v>214</v>
      </c>
      <c r="C43" s="49" t="n">
        <f aca="false" t="array" ref="C43:C43">286270000/Summary!$B$3</f>
        <v>286270</v>
      </c>
      <c r="D43" s="50" t="n">
        <v>286270</v>
      </c>
      <c r="E43" s="51" t="n">
        <f aca="false" t="array" ref="E43:E43">IF(OR(D43="",C43=""),"",IF(D43=0,IF(C43=0,0,1),(C43-D43)/ABS(D43)))</f>
        <v>0</v>
      </c>
      <c r="F43" s="52" t="n">
        <f aca="false" t="array" ref="F43:F43">IF(E43="","",IF(ABS(E43)&lt;=Summary!$B$4,1,0))</f>
        <v>1</v>
      </c>
      <c r="G43" s="49" t="n">
        <f aca="false" t="array" ref="G43:G43">0/Summary!$B$3</f>
        <v>0</v>
      </c>
      <c r="H43" s="50" t="n">
        <v>0</v>
      </c>
      <c r="I43" s="51" t="n">
        <f aca="false" t="array" ref="I43:I43">IF(OR(H43="",G43=""),"",IF(H43=0,IF(G43=0,0,1),(G43-H43)/ABS(H43)))</f>
        <v>0</v>
      </c>
      <c r="J43" s="53" t="n">
        <f aca="false" t="array" ref="J43:J43">IF(I43="","",IF(ABS(I43)&lt;=Summary!$B$4,1,0))</f>
        <v>1</v>
      </c>
      <c r="K43" s="54"/>
      <c r="L43" s="55"/>
      <c r="M43" s="28" t="s">
        <v>215</v>
      </c>
      <c r="N43" s="2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3.5" hidden="false" customHeight="true" outlineLevel="0" collapsed="false">
      <c r="A44" s="47" t="s">
        <v>216</v>
      </c>
      <c r="B44" s="48" t="s">
        <v>217</v>
      </c>
      <c r="C44" s="49" t="n">
        <f aca="false" t="array" ref="C44:C44">1534630000/Summary!$B$3</f>
        <v>1534630</v>
      </c>
      <c r="D44" s="50" t="n">
        <v>1534630</v>
      </c>
      <c r="E44" s="51" t="n">
        <f aca="false" t="array" ref="E44:E44">IF(OR(D44="",C44=""),"",IF(D44=0,IF(C44=0,0,1),(C44-D44)/ABS(D44)))</f>
        <v>0</v>
      </c>
      <c r="F44" s="52" t="n">
        <f aca="false" t="array" ref="F44:F44">IF(E44="","",IF(ABS(E44)&lt;=Summary!$B$4,1,0))</f>
        <v>1</v>
      </c>
      <c r="G44" s="49" t="n">
        <f aca="false" t="array" ref="G44:G44">-328428000/Summary!$B$3</f>
        <v>-328428</v>
      </c>
      <c r="H44" s="50" t="n">
        <v>-328428</v>
      </c>
      <c r="I44" s="51" t="n">
        <f aca="false" t="array" ref="I44:I44">IF(OR(H44="",G44=""),"",IF(H44=0,IF(G44=0,0,1),(G44-H44)/ABS(H44)))</f>
        <v>0</v>
      </c>
      <c r="J44" s="53" t="n">
        <f aca="false" t="array" ref="J44:J44">IF(I44="","",IF(ABS(I44)&lt;=Summary!$B$4,1,0))</f>
        <v>1</v>
      </c>
      <c r="K44" s="54"/>
      <c r="L44" s="55"/>
      <c r="M44" s="28" t="s">
        <v>218</v>
      </c>
      <c r="N44" s="2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3.5" hidden="false" customHeight="true" outlineLevel="0" collapsed="false">
      <c r="A45" s="47" t="s">
        <v>219</v>
      </c>
      <c r="B45" s="48" t="s">
        <v>220</v>
      </c>
      <c r="C45" s="49" t="n">
        <f aca="false" t="array" ref="C45:C45">-1389072000/Summary!$B$3</f>
        <v>-1389072</v>
      </c>
      <c r="D45" s="50" t="n">
        <v>-1389072</v>
      </c>
      <c r="E45" s="51" t="n">
        <f aca="false" t="array" ref="E45:E45">IF(OR(D45="",C45=""),"",IF(D45=0,IF(C45=0,0,1),(C45-D45)/ABS(D45)))</f>
        <v>0</v>
      </c>
      <c r="F45" s="52" t="n">
        <f aca="false" t="array" ref="F45:F45">IF(E45="","",IF(ABS(E45)&lt;=Summary!$B$4,1,0))</f>
        <v>1</v>
      </c>
      <c r="G45" s="49" t="n">
        <f aca="false" t="array" ref="G45:G45">-199940000/Summary!$B$3</f>
        <v>-199940</v>
      </c>
      <c r="H45" s="50" t="n">
        <v>-199940</v>
      </c>
      <c r="I45" s="51" t="n">
        <f aca="false" t="array" ref="I45:I45">IF(OR(H45="",G45=""),"",IF(H45=0,IF(G45=0,0,1),(G45-H45)/ABS(H45)))</f>
        <v>0</v>
      </c>
      <c r="J45" s="53" t="n">
        <f aca="false" t="array" ref="J45:J45">IF(I45="","",IF(ABS(I45)&lt;=Summary!$B$4,1,0))</f>
        <v>1</v>
      </c>
      <c r="K45" s="54"/>
      <c r="L45" s="55"/>
      <c r="M45" s="28" t="s">
        <v>221</v>
      </c>
      <c r="N45" s="2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3.5" hidden="false" customHeight="true" outlineLevel="0" collapsed="false">
      <c r="A46" s="47" t="s">
        <v>222</v>
      </c>
      <c r="B46" s="48" t="s">
        <v>223</v>
      </c>
      <c r="C46" s="49" t="n">
        <f aca="false" t="array" ref="C46:C46">-310796000/Summary!$B$3</f>
        <v>-310796</v>
      </c>
      <c r="D46" s="50" t="n">
        <v>-310796</v>
      </c>
      <c r="E46" s="51" t="n">
        <f aca="false" t="array" ref="E46:E46">IF(OR(D46="",C46=""),"",IF(D46=0,IF(C46=0,0,1),(C46-D46)/ABS(D46)))</f>
        <v>0</v>
      </c>
      <c r="F46" s="52" t="n">
        <f aca="false" t="array" ref="F46:F46">IF(E46="","",IF(ABS(E46)&lt;=Summary!$B$4,1,0))</f>
        <v>1</v>
      </c>
      <c r="G46" s="49" t="n">
        <f aca="false" t="array" ref="G46:G46">-122783000/Summary!$B$3</f>
        <v>-122783</v>
      </c>
      <c r="H46" s="50" t="n">
        <v>-122783</v>
      </c>
      <c r="I46" s="51" t="n">
        <f aca="false" t="array" ref="I46:I46">IF(OR(H46="",G46=""),"",IF(H46=0,IF(G46=0,0,1),(G46-H46)/ABS(H46)))</f>
        <v>0</v>
      </c>
      <c r="J46" s="53" t="n">
        <f aca="false" t="array" ref="J46:J46">IF(I46="","",IF(ABS(I46)&lt;=Summary!$B$4,1,0))</f>
        <v>1</v>
      </c>
      <c r="K46" s="54"/>
      <c r="L46" s="55"/>
      <c r="M46" s="28" t="s">
        <v>224</v>
      </c>
      <c r="N46" s="2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3.5" hidden="false" customHeight="true" outlineLevel="0" collapsed="false">
      <c r="A47" s="56" t="s">
        <v>225</v>
      </c>
      <c r="B47" s="48" t="s">
        <v>226</v>
      </c>
      <c r="C47" s="49" t="n">
        <f aca="false" t="array" ref="C47:C47">121122000/Summary!$B$3</f>
        <v>121122</v>
      </c>
      <c r="D47" s="50" t="n">
        <f aca="false" t="array" ref="D47:D47">SUM(D42:D46)</f>
        <v>121122</v>
      </c>
      <c r="E47" s="51" t="n">
        <f aca="false" t="array" ref="E47:E47">IF(OR(D47="",C47=""),"",IF(D47=0,IF(C47=0,0,1),(C47-D47)/ABS(D47)))</f>
        <v>0</v>
      </c>
      <c r="F47" s="52" t="n">
        <f aca="false" t="array" ref="F47:F47">IF(E47="","",IF(ABS(E47)&lt;=Summary!$B$4,1,0))</f>
        <v>1</v>
      </c>
      <c r="G47" s="49" t="n">
        <f aca="false" t="array" ref="G47:G47">-651082000/Summary!$B$3</f>
        <v>-651082</v>
      </c>
      <c r="H47" s="50" t="n">
        <f aca="false" t="array" ref="H47:H47">SUM(H41:H46)</f>
        <v>-651082</v>
      </c>
      <c r="I47" s="51" t="n">
        <f aca="false" t="array" ref="I47:I47">IF(OR(H47="",G47=""),"",IF(H47=0,IF(G47=0,0,1),(G47-H47)/ABS(H47)))</f>
        <v>0</v>
      </c>
      <c r="J47" s="53" t="n">
        <f aca="false" t="array" ref="J47:J47">IF(I47="","",IF(ABS(I47)&lt;=Summary!$B$4,1,0))</f>
        <v>1</v>
      </c>
      <c r="K47" s="54"/>
      <c r="L47" s="55"/>
      <c r="M47" s="28" t="s">
        <v>227</v>
      </c>
      <c r="N47" s="2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3.5" hidden="false" customHeight="true" outlineLevel="0" collapsed="false">
      <c r="A48" s="47" t="s">
        <v>228</v>
      </c>
      <c r="B48" s="48" t="s">
        <v>229</v>
      </c>
      <c r="C48" s="49" t="n">
        <f aca="false" t="array" ref="C48:C48">274746000/Summary!$B$3</f>
        <v>274746</v>
      </c>
      <c r="D48" s="50" t="n">
        <v>274746</v>
      </c>
      <c r="E48" s="51" t="n">
        <f aca="false" t="array" ref="E48:E48">IF(OR(D48="",C48=""),"",IF(D48=0,IF(C48=0,0,1),(C48-D48)/ABS(D48)))</f>
        <v>0</v>
      </c>
      <c r="F48" s="52" t="n">
        <f aca="false" t="array" ref="F48:F48">IF(E48="","",IF(ABS(E48)&lt;=Summary!$B$4,1,0))</f>
        <v>1</v>
      </c>
      <c r="G48" s="49" t="n">
        <f aca="false" t="array" ref="G48:G48">277354000/Summary!$B$3</f>
        <v>277354</v>
      </c>
      <c r="H48" s="50" t="n">
        <v>277354</v>
      </c>
      <c r="I48" s="51" t="n">
        <f aca="false" t="array" ref="I48:I48">IF(OR(H48="",G48=""),"",IF(H48=0,IF(G48=0,0,1),(G48-H48)/ABS(H48)))</f>
        <v>0</v>
      </c>
      <c r="J48" s="53" t="n">
        <f aca="false" t="array" ref="J48:J48">IF(I48="","",IF(ABS(I48)&lt;=Summary!$B$4,1,0))</f>
        <v>1</v>
      </c>
      <c r="K48" s="54"/>
      <c r="L48" s="55"/>
      <c r="M48" s="28" t="s">
        <v>230</v>
      </c>
      <c r="N48" s="2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3.5" hidden="false" customHeight="true" outlineLevel="0" collapsed="false">
      <c r="A49" s="56" t="s">
        <v>231</v>
      </c>
      <c r="B49" s="48" t="s">
        <v>232</v>
      </c>
      <c r="C49" s="49" t="n">
        <f aca="false" t="array" ref="C49:C49">395868000/Summary!$B$3</f>
        <v>395868</v>
      </c>
      <c r="D49" s="50" t="n">
        <f aca="false" t="array" ref="D49:D49">SUM(D47:D48)</f>
        <v>395868</v>
      </c>
      <c r="E49" s="51" t="n">
        <f aca="false" t="array" ref="E49:E49">IF(OR(D49="",C49=""),"",IF(D49=0,IF(C49=0,0,1),(C49-D49)/ABS(D49)))</f>
        <v>0</v>
      </c>
      <c r="F49" s="52" t="n">
        <f aca="false" t="array" ref="F49:F49">IF(E49="","",IF(ABS(E49)&lt;=Summary!$B$4,1,0))</f>
        <v>1</v>
      </c>
      <c r="G49" s="49" t="n">
        <f aca="false" t="array" ref="G49:G49">-373728000/Summary!$B$3</f>
        <v>-373728</v>
      </c>
      <c r="H49" s="50" t="n">
        <f aca="false" t="array" ref="H49:H49">H47+H48</f>
        <v>-373728</v>
      </c>
      <c r="I49" s="51" t="n">
        <f aca="false" t="array" ref="I49:I49">IF(OR(H49="",G49=""),"",IF(H49=0,IF(G49=0,0,1),(G49-H49)/ABS(H49)))</f>
        <v>0</v>
      </c>
      <c r="J49" s="53" t="n">
        <f aca="false" t="array" ref="J49:J49">IF(I49="","",IF(ABS(I49)&lt;=Summary!$B$4,1,0))</f>
        <v>1</v>
      </c>
      <c r="K49" s="54"/>
      <c r="L49" s="55"/>
      <c r="M49" s="28" t="s">
        <v>233</v>
      </c>
      <c r="N49" s="2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3.5" hidden="false" customHeight="true" outlineLevel="0" collapsed="false">
      <c r="A50" s="56" t="s">
        <v>234</v>
      </c>
      <c r="B50" s="48" t="s">
        <v>235</v>
      </c>
      <c r="C50" s="49" t="n">
        <f aca="false" t="array" ref="C50:C50">17285268000/Summary!$B$3</f>
        <v>17285268</v>
      </c>
      <c r="D50" s="50" t="n">
        <f aca="false" t="array" ref="D50:D50">D37+D49+D39</f>
        <v>17285268</v>
      </c>
      <c r="E50" s="51" t="n">
        <f aca="false" t="array" ref="E50:E50">IF(OR(D50="",C50=""),"",IF(D50=0,IF(C50=0,0,1),(C50-D50)/ABS(D50)))</f>
        <v>0</v>
      </c>
      <c r="F50" s="52" t="n">
        <f aca="false" t="array" ref="F50:F50">IF(E50="","",IF(ABS(E50)&lt;=Summary!$B$4,1,0))</f>
        <v>1</v>
      </c>
      <c r="G50" s="49" t="n">
        <f aca="false" t="array" ref="G50:G50">17480103000/Summary!$B$3</f>
        <v>17480103</v>
      </c>
      <c r="H50" s="50" t="n">
        <f aca="false" t="array" ref="H50:H50">H37+H39+H49</f>
        <v>17480103</v>
      </c>
      <c r="I50" s="51" t="n">
        <f aca="false" t="array" ref="I50:I50">IF(OR(H50="",G50=""),"",IF(H50=0,IF(G50=0,0,1),(G50-H50)/ABS(H50)))</f>
        <v>0</v>
      </c>
      <c r="J50" s="53" t="n">
        <f aca="false" t="array" ref="J50:J50">IF(I50="","",IF(ABS(I50)&lt;=Summary!$B$4,1,0))</f>
        <v>1</v>
      </c>
      <c r="K50" s="54"/>
      <c r="L50" s="55"/>
      <c r="M50" s="28" t="s">
        <v>236</v>
      </c>
      <c r="N50" s="2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C4:F4"/>
    <mergeCell ref="G4:J4"/>
  </mergeCells>
  <hyperlinks>
    <hyperlink ref="A3" r:id="rId2" display="Open this statement on SEC.gov"/>
  </hyperlinks>
  <printOptions headings="false" gridLines="false" gridLinesSet="true" horizontalCentered="false" verticalCentered="false"/>
  <pageMargins left="0.75" right="0.75" top="1" bottom="1" header="0.511811023622047" footer="0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&amp;C000000&amp;P</oddFooter>
  </headerFooter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4"/>
    <col collapsed="false" customWidth="true" hidden="false" outlineLevel="0" max="4" min="3" style="0" width="13"/>
    <col collapsed="false" customWidth="true" hidden="false" outlineLevel="0" max="5" min="5" style="0" width="9"/>
    <col collapsed="false" customWidth="true" hidden="false" outlineLevel="0" max="6" min="6" style="0" width="5"/>
    <col collapsed="false" customWidth="true" hidden="false" outlineLevel="0" max="8" min="7" style="0" width="13"/>
    <col collapsed="false" customWidth="true" hidden="false" outlineLevel="0" max="9" min="9" style="0" width="9"/>
    <col collapsed="false" customWidth="true" hidden="false" outlineLevel="0" max="10" min="10" style="0" width="5"/>
    <col collapsed="false" customWidth="true" hidden="false" outlineLevel="0" max="11" min="11" style="0" width="24"/>
    <col collapsed="false" customWidth="true" hidden="false" outlineLevel="0" max="12" min="12" style="0" width="22"/>
    <col collapsed="false" customWidth="true" hidden="true" outlineLevel="0" max="13" min="13" style="0" width="8.86"/>
    <col collapsed="false" customWidth="true" hidden="false" outlineLevel="0" max="26" min="14" style="0" width="8.86"/>
  </cols>
  <sheetData>
    <row r="1" customFormat="false" ht="18" hidden="false" customHeight="true" outlineLevel="0" collapsed="false">
      <c r="A1" s="1" t="s">
        <v>237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3.5" hidden="false" customHeight="true" outlineLevel="0" collapsed="false">
      <c r="A2" s="28" t="s">
        <v>238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3.5" hidden="false" customHeight="true" outlineLevel="0" collapsed="false">
      <c r="A3" s="29" t="s">
        <v>23</v>
      </c>
      <c r="B3" s="2"/>
      <c r="C3" s="4"/>
      <c r="D3" s="2"/>
      <c r="E3" s="2"/>
      <c r="F3" s="2"/>
      <c r="G3" s="4"/>
      <c r="H3" s="2"/>
      <c r="I3" s="2"/>
      <c r="J3" s="2"/>
      <c r="K3" s="2"/>
      <c r="L3" s="2"/>
      <c r="M3" s="2"/>
      <c r="N3" s="2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3.5" hidden="false" customHeight="true" outlineLevel="0" collapsed="false">
      <c r="A4" s="4"/>
      <c r="B4" s="30"/>
      <c r="C4" s="31" t="s">
        <v>24</v>
      </c>
      <c r="D4" s="31"/>
      <c r="E4" s="31"/>
      <c r="F4" s="31"/>
      <c r="G4" s="32" t="s">
        <v>25</v>
      </c>
      <c r="H4" s="32"/>
      <c r="I4" s="32"/>
      <c r="J4" s="32"/>
      <c r="K4" s="4"/>
      <c r="L4" s="4"/>
      <c r="M4" s="4"/>
      <c r="N4" s="2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3.5" hidden="false" customHeight="true" outlineLevel="0" collapsed="false">
      <c r="A5" s="33" t="s">
        <v>26</v>
      </c>
      <c r="B5" s="34" t="s">
        <v>27</v>
      </c>
      <c r="C5" s="34" t="s">
        <v>28</v>
      </c>
      <c r="D5" s="34" t="s">
        <v>6</v>
      </c>
      <c r="E5" s="34" t="s">
        <v>29</v>
      </c>
      <c r="F5" s="34" t="s">
        <v>30</v>
      </c>
      <c r="G5" s="34" t="s">
        <v>28</v>
      </c>
      <c r="H5" s="34" t="s">
        <v>6</v>
      </c>
      <c r="I5" s="34" t="s">
        <v>29</v>
      </c>
      <c r="J5" s="34" t="s">
        <v>30</v>
      </c>
      <c r="K5" s="34" t="s">
        <v>31</v>
      </c>
      <c r="L5" s="34" t="s">
        <v>32</v>
      </c>
      <c r="M5" s="34" t="s">
        <v>33</v>
      </c>
      <c r="N5" s="14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3.5" hidden="false" customHeight="true" outlineLevel="0" collapsed="false">
      <c r="A6" s="35" t="s">
        <v>239</v>
      </c>
      <c r="B6" s="36"/>
      <c r="C6" s="36"/>
      <c r="D6" s="37"/>
      <c r="E6" s="36"/>
      <c r="F6" s="36"/>
      <c r="G6" s="36"/>
      <c r="H6" s="37"/>
      <c r="I6" s="36"/>
      <c r="J6" s="36"/>
      <c r="K6" s="37"/>
      <c r="L6" s="36"/>
      <c r="M6" s="36"/>
      <c r="N6" s="2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3.5" hidden="false" customHeight="true" outlineLevel="0" collapsed="false">
      <c r="A7" s="38" t="s">
        <v>90</v>
      </c>
      <c r="B7" s="39" t="s">
        <v>91</v>
      </c>
      <c r="C7" s="40" t="n">
        <f aca="false" t="array" ref="C7:C7">1250737000/Summary!$B$3</f>
        <v>1250737</v>
      </c>
      <c r="D7" s="41" t="n">
        <f aca="false" t="array" ref="D7:D7">'Income statement'!D26</f>
        <v>1250737</v>
      </c>
      <c r="E7" s="42" t="n">
        <f aca="false" t="array" ref="E7:E7">IF(OR(D7="",C7=""),"",IF(D7=0,IF(C7=0,0,1),(C7-D7)/ABS(D7)))</f>
        <v>0</v>
      </c>
      <c r="F7" s="43" t="n">
        <f aca="false" t="array" ref="F7:F7">IF(E7="","",IF(ABS(E7)&lt;=Summary!$B$4,1,0))</f>
        <v>1</v>
      </c>
      <c r="G7" s="40" t="n">
        <f aca="false" t="array" ref="G7:G7">1078716000/Summary!$B$3</f>
        <v>1078716</v>
      </c>
      <c r="H7" s="41" t="n">
        <v>1078716</v>
      </c>
      <c r="I7" s="42" t="n">
        <f aca="false" t="array" ref="I7:I7">IF(OR(H7="",G7=""),"",IF(H7=0,IF(G7=0,0,1),(G7-H7)/ABS(H7)))</f>
        <v>0</v>
      </c>
      <c r="J7" s="44" t="n">
        <f aca="false" t="array" ref="J7:J7">IF(I7="","",IF(ABS(I7)&lt;=Summary!$B$4,1,0))</f>
        <v>1</v>
      </c>
      <c r="K7" s="45"/>
      <c r="L7" s="46"/>
      <c r="M7" s="28" t="s">
        <v>240</v>
      </c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3.5" hidden="false" customHeight="true" outlineLevel="0" collapsed="false">
      <c r="A8" s="57" t="s">
        <v>241</v>
      </c>
      <c r="B8" s="58"/>
      <c r="C8" s="58"/>
      <c r="D8" s="59"/>
      <c r="E8" s="58"/>
      <c r="F8" s="58"/>
      <c r="G8" s="58"/>
      <c r="H8" s="59"/>
      <c r="I8" s="58"/>
      <c r="J8" s="58"/>
      <c r="K8" s="59"/>
      <c r="L8" s="58"/>
      <c r="M8" s="2"/>
      <c r="N8" s="2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3.5" hidden="false" customHeight="true" outlineLevel="0" collapsed="false">
      <c r="A9" s="38" t="s">
        <v>51</v>
      </c>
      <c r="B9" s="39" t="s">
        <v>242</v>
      </c>
      <c r="C9" s="40" t="n">
        <f aca="false" t="array" ref="C9:C9">723860000/Summary!$B$3</f>
        <v>723860</v>
      </c>
      <c r="D9" s="41" t="n">
        <v>723860</v>
      </c>
      <c r="E9" s="42" t="n">
        <f aca="false" t="array" ref="E9:E9">IF(OR(D9="",C9=""),"",IF(D9=0,IF(C9=0,0,1),(C9-D9)/ABS(D9)))</f>
        <v>0</v>
      </c>
      <c r="F9" s="43" t="n">
        <f aca="false" t="array" ref="F9:F9">IF(E9="","",IF(ABS(E9)&lt;=Summary!$B$4,1,0))</f>
        <v>1</v>
      </c>
      <c r="G9" s="40" t="n">
        <f aca="false" t="array" ref="G9:G9">715348000/Summary!$B$3</f>
        <v>715348</v>
      </c>
      <c r="H9" s="41" t="n">
        <v>715348</v>
      </c>
      <c r="I9" s="42" t="n">
        <f aca="false" t="array" ref="I9:I9">IF(OR(H9="",G9=""),"",IF(H9=0,IF(G9=0,0,1),(G9-H9)/ABS(H9)))</f>
        <v>0</v>
      </c>
      <c r="J9" s="44" t="n">
        <f aca="false" t="array" ref="J9:J9">IF(I9="","",IF(ABS(I9)&lt;=Summary!$B$4,1,0))</f>
        <v>1</v>
      </c>
      <c r="K9" s="45"/>
      <c r="L9" s="46"/>
      <c r="M9" s="28" t="s">
        <v>243</v>
      </c>
      <c r="N9" s="2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3.5" hidden="false" customHeight="true" outlineLevel="0" collapsed="false">
      <c r="A10" s="47" t="s">
        <v>244</v>
      </c>
      <c r="B10" s="48" t="s">
        <v>245</v>
      </c>
      <c r="C10" s="49" t="n">
        <f aca="false" t="array" ref="C10:C10">0/Summary!$B$3</f>
        <v>0</v>
      </c>
      <c r="D10" s="50" t="n">
        <v>0</v>
      </c>
      <c r="E10" s="51" t="n">
        <f aca="false" t="array" ref="E10:E10">IF(OR(D10="",C10=""),"",IF(D10=0,IF(C10=0,0,1),(C10-D10)/ABS(D10)))</f>
        <v>0</v>
      </c>
      <c r="F10" s="52" t="n">
        <f aca="false" t="array" ref="F10:F10">IF(E10="","",IF(ABS(E10)&lt;=Summary!$B$4,1,0))</f>
        <v>1</v>
      </c>
      <c r="G10" s="49" t="n">
        <f aca="false" t="array" ref="G10:G10">0/Summary!$B$3</f>
        <v>0</v>
      </c>
      <c r="H10" s="50" t="n">
        <v>0</v>
      </c>
      <c r="I10" s="51" t="n">
        <f aca="false" t="array" ref="I10:I10">IF(OR(H10="",G10=""),"",IF(H10=0,IF(G10=0,0,1),(G10-H10)/ABS(H10)))</f>
        <v>0</v>
      </c>
      <c r="J10" s="53" t="n">
        <f aca="false" t="array" ref="J10:J10">IF(I10="","",IF(ABS(I10)&lt;=Summary!$B$4,1,0))</f>
        <v>1</v>
      </c>
      <c r="K10" s="54"/>
      <c r="L10" s="55"/>
      <c r="M10" s="28" t="s">
        <v>246</v>
      </c>
      <c r="N10" s="2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3.5" hidden="false" customHeight="true" outlineLevel="0" collapsed="false">
      <c r="A11" s="47" t="s">
        <v>247</v>
      </c>
      <c r="B11" s="48" t="s">
        <v>248</v>
      </c>
      <c r="C11" s="49" t="n">
        <f aca="false" t="array" ref="C11:C11">12527000/Summary!$B$3</f>
        <v>12527</v>
      </c>
      <c r="D11" s="50" t="n">
        <v>12527</v>
      </c>
      <c r="E11" s="51" t="n">
        <f aca="false" t="array" ref="E11:E11">IF(OR(D11="",C11=""),"",IF(D11=0,IF(C11=0,0,1),(C11-D11)/ABS(D11)))</f>
        <v>0</v>
      </c>
      <c r="F11" s="52" t="n">
        <f aca="false" t="array" ref="F11:F11">IF(E11="","",IF(ABS(E11)&lt;=Summary!$B$4,1,0))</f>
        <v>1</v>
      </c>
      <c r="G11" s="49" t="n">
        <f aca="false" t="array" ref="G11:G11">12386000/Summary!$B$3</f>
        <v>12386</v>
      </c>
      <c r="H11" s="50" t="n">
        <v>12386</v>
      </c>
      <c r="I11" s="51" t="n">
        <f aca="false" t="array" ref="I11:I11">IF(OR(H11="",G11=""),"",IF(H11=0,IF(G11=0,0,1),(G11-H11)/ABS(H11)))</f>
        <v>0</v>
      </c>
      <c r="J11" s="53" t="n">
        <f aca="false" t="array" ref="J11:J11">IF(I11="","",IF(ABS(I11)&lt;=Summary!$B$4,1,0))</f>
        <v>1</v>
      </c>
      <c r="K11" s="54"/>
      <c r="L11" s="55"/>
      <c r="M11" s="28" t="s">
        <v>249</v>
      </c>
      <c r="N11" s="2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3.5" hidden="false" customHeight="true" outlineLevel="0" collapsed="false">
      <c r="A12" s="47" t="s">
        <v>250</v>
      </c>
      <c r="B12" s="48" t="s">
        <v>251</v>
      </c>
      <c r="C12" s="49" t="n">
        <f aca="false" t="array" ref="C12:C12">102788000/Summary!$B$3</f>
        <v>102788</v>
      </c>
      <c r="D12" s="50" t="n">
        <v>102788</v>
      </c>
      <c r="E12" s="51" t="n">
        <f aca="false" t="array" ref="E12:E12">IF(OR(D12="",C12=""),"",IF(D12=0,IF(C12=0,0,1),(C12-D12)/ABS(D12)))</f>
        <v>0</v>
      </c>
      <c r="F12" s="52" t="n">
        <f aca="false" t="array" ref="F12:F12">IF(E12="","",IF(ABS(E12)&lt;=Summary!$B$4,1,0))</f>
        <v>1</v>
      </c>
      <c r="G12" s="49" t="n">
        <f aca="false" t="array" ref="G12:G12">139953000/Summary!$B$3</f>
        <v>139953</v>
      </c>
      <c r="H12" s="50" t="n">
        <v>139953</v>
      </c>
      <c r="I12" s="51" t="n">
        <f aca="false" t="array" ref="I12:I12">IF(OR(H12="",G12=""),"",IF(H12=0,IF(G12=0,0,1),(G12-H12)/ABS(H12)))</f>
        <v>0</v>
      </c>
      <c r="J12" s="53" t="n">
        <f aca="false" t="array" ref="J12:J12">IF(I12="","",IF(ABS(I12)&lt;=Summary!$B$4,1,0))</f>
        <v>1</v>
      </c>
      <c r="K12" s="54"/>
      <c r="L12" s="55"/>
      <c r="M12" s="28" t="s">
        <v>252</v>
      </c>
      <c r="N12" s="2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3.5" hidden="false" customHeight="true" outlineLevel="0" collapsed="false">
      <c r="A13" s="47" t="s">
        <v>196</v>
      </c>
      <c r="B13" s="48" t="s">
        <v>253</v>
      </c>
      <c r="C13" s="49" t="n">
        <f aca="false" t="array" ref="C13:C13">-57840000/Summary!$B$3</f>
        <v>-57840</v>
      </c>
      <c r="D13" s="50" t="n">
        <v>-57840</v>
      </c>
      <c r="E13" s="51" t="n">
        <f aca="false" t="array" ref="E13:E13">IF(OR(D13="",C13=""),"",IF(D13=0,IF(C13=0,0,1),(C13-D13)/ABS(D13)))</f>
        <v>0</v>
      </c>
      <c r="F13" s="52" t="n">
        <f aca="false" t="array" ref="F13:F13">IF(E13="","",IF(ABS(E13)&lt;=Summary!$B$4,1,0))</f>
        <v>1</v>
      </c>
      <c r="G13" s="49" t="n">
        <f aca="false" t="array" ref="G13:G13">86574000/Summary!$B$3</f>
        <v>86574</v>
      </c>
      <c r="H13" s="50" t="n">
        <v>86574</v>
      </c>
      <c r="I13" s="51" t="n">
        <f aca="false" t="array" ref="I13:I13">IF(OR(H13="",G13=""),"",IF(H13=0,IF(G13=0,0,1),(G13-H13)/ABS(H13)))</f>
        <v>0</v>
      </c>
      <c r="J13" s="53" t="n">
        <f aca="false" t="array" ref="J13:J13">IF(I13="","",IF(ABS(I13)&lt;=Summary!$B$4,1,0))</f>
        <v>1</v>
      </c>
      <c r="K13" s="54"/>
      <c r="L13" s="55"/>
      <c r="M13" s="28" t="s">
        <v>254</v>
      </c>
      <c r="N13" s="2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3.5" hidden="false" customHeight="true" outlineLevel="0" collapsed="false">
      <c r="A14" s="47" t="s">
        <v>255</v>
      </c>
      <c r="B14" s="48" t="s">
        <v>256</v>
      </c>
      <c r="C14" s="49" t="n">
        <f aca="false" t="array" ref="C14:C14">115839000/Summary!$B$3</f>
        <v>115839</v>
      </c>
      <c r="D14" s="50" t="n">
        <v>115839</v>
      </c>
      <c r="E14" s="51" t="n">
        <f aca="false" t="array" ref="E14:E14">IF(OR(D14="",C14=""),"",IF(D14=0,IF(C14=0,0,1),(C14-D14)/ABS(D14)))</f>
        <v>0</v>
      </c>
      <c r="F14" s="52" t="n">
        <f aca="false" t="array" ref="F14:F14">IF(E14="","",IF(ABS(E14)&lt;=Summary!$B$4,1,0))</f>
        <v>1</v>
      </c>
      <c r="G14" s="49" t="n">
        <f aca="false" t="array" ref="G14:G14">134313000/Summary!$B$3</f>
        <v>134313</v>
      </c>
      <c r="H14" s="50" t="n">
        <v>134313</v>
      </c>
      <c r="I14" s="51" t="n">
        <f aca="false" t="array" ref="I14:I14">IF(OR(H14="",G14=""),"",IF(H14=0,IF(G14=0,0,1),(G14-H14)/ABS(H14)))</f>
        <v>0</v>
      </c>
      <c r="J14" s="53" t="n">
        <f aca="false" t="array" ref="J14:J14">IF(I14="","",IF(ABS(I14)&lt;=Summary!$B$4,1,0))</f>
        <v>1</v>
      </c>
      <c r="K14" s="54"/>
      <c r="L14" s="55"/>
      <c r="M14" s="28" t="s">
        <v>257</v>
      </c>
      <c r="N14" s="2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3.5" hidden="false" customHeight="true" outlineLevel="0" collapsed="false">
      <c r="A15" s="47" t="s">
        <v>60</v>
      </c>
      <c r="B15" s="48" t="s">
        <v>61</v>
      </c>
      <c r="C15" s="49" t="n">
        <f aca="false" t="array" ref="C15:C15">-109466000/Summary!$B$3</f>
        <v>-109466</v>
      </c>
      <c r="D15" s="50" t="n">
        <v>-109466</v>
      </c>
      <c r="E15" s="51" t="n">
        <f aca="false" t="array" ref="E15:E15">IF(OR(D15="",C15=""),"",IF(D15=0,IF(C15=0,0,1),(C15-D15)/ABS(D15)))</f>
        <v>0</v>
      </c>
      <c r="F15" s="52" t="n">
        <f aca="false" t="array" ref="F15:F15">IF(E15="","",IF(ABS(E15)&lt;=Summary!$B$4,1,0))</f>
        <v>1</v>
      </c>
      <c r="G15" s="49" t="n">
        <f aca="false" t="array" ref="G15:G15">0/Summary!$B$3</f>
        <v>0</v>
      </c>
      <c r="H15" s="50" t="n">
        <v>0</v>
      </c>
      <c r="I15" s="51" t="n">
        <f aca="false" t="array" ref="I15:I15">IF(OR(H15="",G15=""),"",IF(H15=0,IF(G15=0,0,1),(G15-H15)/ABS(H15)))</f>
        <v>0</v>
      </c>
      <c r="J15" s="53" t="n">
        <f aca="false" t="array" ref="J15:J15">IF(I15="","",IF(ABS(I15)&lt;=Summary!$B$4,1,0))</f>
        <v>1</v>
      </c>
      <c r="K15" s="54"/>
      <c r="L15" s="55"/>
      <c r="M15" s="28" t="s">
        <v>258</v>
      </c>
      <c r="N15" s="2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3.5" hidden="false" customHeight="true" outlineLevel="0" collapsed="false">
      <c r="A16" s="47" t="s">
        <v>259</v>
      </c>
      <c r="B16" s="48" t="s">
        <v>260</v>
      </c>
      <c r="C16" s="49" t="n">
        <f aca="false" t="array" ref="C16:C16">13414000/Summary!$B$3</f>
        <v>13414</v>
      </c>
      <c r="D16" s="50" t="n">
        <v>13414</v>
      </c>
      <c r="E16" s="51" t="n">
        <f aca="false" t="array" ref="E16:E16">IF(OR(D16="",C16=""),"",IF(D16=0,IF(C16=0,0,1),(C16-D16)/ABS(D16)))</f>
        <v>0</v>
      </c>
      <c r="F16" s="52" t="n">
        <f aca="false" t="array" ref="F16:F16">IF(E16="","",IF(ABS(E16)&lt;=Summary!$B$4,1,0))</f>
        <v>1</v>
      </c>
      <c r="G16" s="49" t="n">
        <f aca="false" t="array" ref="G16:G16">-17549000/Summary!$B$3</f>
        <v>-17549</v>
      </c>
      <c r="H16" s="50" t="n">
        <v>-17549</v>
      </c>
      <c r="I16" s="51" t="n">
        <f aca="false" t="array" ref="I16:I16">IF(OR(H16="",G16=""),"",IF(H16=0,IF(G16=0,0,1),(G16-H16)/ABS(H16)))</f>
        <v>0</v>
      </c>
      <c r="J16" s="53" t="n">
        <f aca="false" t="array" ref="J16:J16">IF(I16="","",IF(ABS(I16)&lt;=Summary!$B$4,1,0))</f>
        <v>1</v>
      </c>
      <c r="K16" s="54"/>
      <c r="L16" s="55"/>
      <c r="M16" s="28" t="s">
        <v>261</v>
      </c>
      <c r="N16" s="2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3.5" hidden="false" customHeight="true" outlineLevel="0" collapsed="false">
      <c r="A17" s="57" t="s">
        <v>262</v>
      </c>
      <c r="B17" s="58"/>
      <c r="C17" s="58"/>
      <c r="D17" s="59"/>
      <c r="E17" s="58"/>
      <c r="F17" s="58"/>
      <c r="G17" s="58"/>
      <c r="H17" s="59"/>
      <c r="I17" s="58"/>
      <c r="J17" s="58"/>
      <c r="K17" s="59"/>
      <c r="L17" s="58"/>
      <c r="M17" s="2"/>
      <c r="N17" s="2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3.5" hidden="false" customHeight="true" outlineLevel="0" collapsed="false">
      <c r="A18" s="38" t="s">
        <v>120</v>
      </c>
      <c r="B18" s="39" t="s">
        <v>263</v>
      </c>
      <c r="C18" s="40" t="n">
        <f aca="false" t="array" ref="C18:C18">-29766000/Summary!$B$3</f>
        <v>-29766</v>
      </c>
      <c r="D18" s="41" t="n">
        <v>-29766</v>
      </c>
      <c r="E18" s="42" t="n">
        <f aca="false" t="array" ref="E18:E18">IF(OR(D18="",C18=""),"",IF(D18=0,IF(C18=0,0,1),(C18-D18)/ABS(D18)))</f>
        <v>0</v>
      </c>
      <c r="F18" s="43" t="n">
        <f aca="false" t="array" ref="F18:F18">IF(E18="","",IF(ABS(E18)&lt;=Summary!$B$4,1,0))</f>
        <v>1</v>
      </c>
      <c r="G18" s="40" t="n">
        <f aca="false" t="array" ref="G18:G18">-210632000/Summary!$B$3</f>
        <v>-210632</v>
      </c>
      <c r="H18" s="41" t="n">
        <v>-210632</v>
      </c>
      <c r="I18" s="42" t="n">
        <f aca="false" t="array" ref="I18:I18">IF(OR(H18="",G18=""),"",IF(H18=0,IF(G18=0,0,1),(G18-H18)/ABS(H18)))</f>
        <v>0</v>
      </c>
      <c r="J18" s="44" t="n">
        <f aca="false" t="array" ref="J18:J18">IF(I18="","",IF(ABS(I18)&lt;=Summary!$B$4,1,0))</f>
        <v>1</v>
      </c>
      <c r="K18" s="45"/>
      <c r="L18" s="46"/>
      <c r="M18" s="28" t="s">
        <v>264</v>
      </c>
      <c r="N18" s="2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3.5" hidden="false" customHeight="true" outlineLevel="0" collapsed="false">
      <c r="A19" s="47" t="s">
        <v>123</v>
      </c>
      <c r="B19" s="48" t="s">
        <v>265</v>
      </c>
      <c r="C19" s="49" t="n">
        <f aca="false" t="array" ref="C19:C19">17942000/Summary!$B$3</f>
        <v>17942</v>
      </c>
      <c r="D19" s="50" t="n">
        <v>17942</v>
      </c>
      <c r="E19" s="51" t="n">
        <f aca="false" t="array" ref="E19:E19">IF(OR(D19="",C19=""),"",IF(D19=0,IF(C19=0,0,1),(C19-D19)/ABS(D19)))</f>
        <v>0</v>
      </c>
      <c r="F19" s="52" t="n">
        <f aca="false" t="array" ref="F19:F19">IF(E19="","",IF(ABS(E19)&lt;=Summary!$B$4,1,0))</f>
        <v>1</v>
      </c>
      <c r="G19" s="49" t="n">
        <f aca="false" t="array" ref="G19:G19">-19950000/Summary!$B$3</f>
        <v>-19950</v>
      </c>
      <c r="H19" s="50" t="n">
        <v>-19950</v>
      </c>
      <c r="I19" s="51" t="n">
        <f aca="false" t="array" ref="I19:I19">IF(OR(H19="",G19=""),"",IF(H19=0,IF(G19=0,0,1),(G19-H19)/ABS(H19)))</f>
        <v>0</v>
      </c>
      <c r="J19" s="53" t="n">
        <f aca="false" t="array" ref="J19:J19">IF(I19="","",IF(ABS(I19)&lt;=Summary!$B$4,1,0))</f>
        <v>1</v>
      </c>
      <c r="K19" s="54"/>
      <c r="L19" s="55"/>
      <c r="M19" s="28" t="s">
        <v>266</v>
      </c>
      <c r="N19" s="2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3.5" hidden="false" customHeight="true" outlineLevel="0" collapsed="false">
      <c r="A20" s="47" t="s">
        <v>267</v>
      </c>
      <c r="B20" s="48" t="s">
        <v>268</v>
      </c>
      <c r="C20" s="49" t="n">
        <f aca="false" t="array" ref="C20:C20">36801000/Summary!$B$3</f>
        <v>36801</v>
      </c>
      <c r="D20" s="50" t="n">
        <v>36801</v>
      </c>
      <c r="E20" s="51" t="n">
        <f aca="false" t="array" ref="E20:E20">IF(OR(D20="",C20=""),"",IF(D20=0,IF(C20=0,0,1),(C20-D20)/ABS(D20)))</f>
        <v>0</v>
      </c>
      <c r="F20" s="52" t="n">
        <f aca="false" t="array" ref="F20:F20">IF(E20="","",IF(ABS(E20)&lt;=Summary!$B$4,1,0))</f>
        <v>1</v>
      </c>
      <c r="G20" s="49" t="n">
        <f aca="false" t="array" ref="G20:G20">-124297000/Summary!$B$3</f>
        <v>-124297</v>
      </c>
      <c r="H20" s="50" t="n">
        <v>-124297</v>
      </c>
      <c r="I20" s="51" t="n">
        <f aca="false" t="array" ref="I20:I20">IF(OR(H20="",G20=""),"",IF(H20=0,IF(G20=0,0,1),(G20-H20)/ABS(H20)))</f>
        <v>0</v>
      </c>
      <c r="J20" s="53" t="n">
        <f aca="false" t="array" ref="J20:J20">IF(I20="","",IF(ABS(I20)&lt;=Summary!$B$4,1,0))</f>
        <v>1</v>
      </c>
      <c r="K20" s="54"/>
      <c r="L20" s="55"/>
      <c r="M20" s="28" t="s">
        <v>269</v>
      </c>
      <c r="N20" s="2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3.5" hidden="false" customHeight="true" outlineLevel="0" collapsed="false">
      <c r="A21" s="47" t="s">
        <v>153</v>
      </c>
      <c r="B21" s="48" t="s">
        <v>270</v>
      </c>
      <c r="C21" s="49" t="n">
        <f aca="false" t="array" ref="C21:C21">-67031000/Summary!$B$3</f>
        <v>-67031</v>
      </c>
      <c r="D21" s="50" t="n">
        <v>-67031</v>
      </c>
      <c r="E21" s="51" t="n">
        <f aca="false" t="array" ref="E21:E21">IF(OR(D21="",C21=""),"",IF(D21=0,IF(C21=0,0,1),(C21-D21)/ABS(D21)))</f>
        <v>0</v>
      </c>
      <c r="F21" s="52" t="n">
        <f aca="false" t="array" ref="F21:F21">IF(E21="","",IF(ABS(E21)&lt;=Summary!$B$4,1,0))</f>
        <v>1</v>
      </c>
      <c r="G21" s="49" t="n">
        <f aca="false" t="array" ref="G21:G21">-40253000/Summary!$B$3</f>
        <v>-40253</v>
      </c>
      <c r="H21" s="50" t="n">
        <v>-40253</v>
      </c>
      <c r="I21" s="51" t="n">
        <f aca="false" t="array" ref="I21:I21">IF(OR(H21="",G21=""),"",IF(H21=0,IF(G21=0,0,1),(G21-H21)/ABS(H21)))</f>
        <v>0</v>
      </c>
      <c r="J21" s="53" t="n">
        <f aca="false" t="array" ref="J21:J21">IF(I21="","",IF(ABS(I21)&lt;=Summary!$B$4,1,0))</f>
        <v>1</v>
      </c>
      <c r="K21" s="54"/>
      <c r="L21" s="55"/>
      <c r="M21" s="28" t="s">
        <v>271</v>
      </c>
      <c r="N21" s="2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3.5" hidden="false" customHeight="true" outlineLevel="0" collapsed="false">
      <c r="A22" s="47" t="s">
        <v>163</v>
      </c>
      <c r="B22" s="48" t="s">
        <v>272</v>
      </c>
      <c r="C22" s="49" t="n">
        <f aca="false" t="array" ref="C22:C22">1699000/Summary!$B$3</f>
        <v>1699</v>
      </c>
      <c r="D22" s="50" t="n">
        <v>1699</v>
      </c>
      <c r="E22" s="51" t="n">
        <f aca="false" t="array" ref="E22:E22">IF(OR(D22="",C22=""),"",IF(D22=0,IF(C22=0,0,1),(C22-D22)/ABS(D22)))</f>
        <v>0</v>
      </c>
      <c r="F22" s="52" t="n">
        <f aca="false" t="array" ref="F22:F22">IF(E22="","",IF(ABS(E22)&lt;=Summary!$B$4,1,0))</f>
        <v>1</v>
      </c>
      <c r="G22" s="49" t="n">
        <f aca="false" t="array" ref="G22:G22">128303000/Summary!$B$3</f>
        <v>128303</v>
      </c>
      <c r="H22" s="50" t="n">
        <v>128303</v>
      </c>
      <c r="I22" s="51" t="n">
        <f aca="false" t="array" ref="I22:I22">IF(OR(H22="",G22=""),"",IF(H22=0,IF(G22=0,0,1),(G22-H22)/ABS(H22)))</f>
        <v>0</v>
      </c>
      <c r="J22" s="53" t="n">
        <f aca="false" t="array" ref="J22:J22">IF(I22="","",IF(ABS(I22)&lt;=Summary!$B$4,1,0))</f>
        <v>1</v>
      </c>
      <c r="K22" s="54"/>
      <c r="L22" s="55"/>
      <c r="M22" s="28" t="s">
        <v>273</v>
      </c>
      <c r="N22" s="2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3.5" hidden="false" customHeight="true" outlineLevel="0" collapsed="false">
      <c r="A23" s="47" t="s">
        <v>169</v>
      </c>
      <c r="B23" s="48" t="s">
        <v>274</v>
      </c>
      <c r="C23" s="49" t="n">
        <f aca="false" t="array" ref="C23:C23">14687000/Summary!$B$3</f>
        <v>14687</v>
      </c>
      <c r="D23" s="50" t="n">
        <v>14687</v>
      </c>
      <c r="E23" s="51" t="n">
        <f aca="false" t="array" ref="E23:E23">IF(OR(D23="",C23=""),"",IF(D23=0,IF(C23=0,0,1),(C23-D23)/ABS(D23)))</f>
        <v>0</v>
      </c>
      <c r="F23" s="52" t="n">
        <f aca="false" t="array" ref="F23:F23">IF(E23="","",IF(ABS(E23)&lt;=Summary!$B$4,1,0))</f>
        <v>1</v>
      </c>
      <c r="G23" s="49" t="n">
        <f aca="false" t="array" ref="G23:G23">-24042000/Summary!$B$3</f>
        <v>-24042</v>
      </c>
      <c r="H23" s="50" t="n">
        <v>-24042</v>
      </c>
      <c r="I23" s="51" t="n">
        <f aca="false" t="array" ref="I23:I23">IF(OR(H23="",G23=""),"",IF(H23=0,IF(G23=0,0,1),(G23-H23)/ABS(H23)))</f>
        <v>0</v>
      </c>
      <c r="J23" s="53" t="n">
        <f aca="false" t="array" ref="J23:J23">IF(I23="","",IF(ABS(I23)&lt;=Summary!$B$4,1,0))</f>
        <v>1</v>
      </c>
      <c r="K23" s="54"/>
      <c r="L23" s="55"/>
      <c r="M23" s="28" t="s">
        <v>275</v>
      </c>
      <c r="N23" s="2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3.5" hidden="false" customHeight="true" outlineLevel="0" collapsed="false">
      <c r="A24" s="47" t="s">
        <v>276</v>
      </c>
      <c r="B24" s="48" t="s">
        <v>277</v>
      </c>
      <c r="C24" s="49" t="n">
        <f aca="false" t="array" ref="C24:C24">46733000/Summary!$B$3</f>
        <v>46733</v>
      </c>
      <c r="D24" s="50" t="n">
        <v>46733</v>
      </c>
      <c r="E24" s="51" t="n">
        <f aca="false" t="array" ref="E24:E24">IF(OR(D24="",C24=""),"",IF(D24=0,IF(C24=0,0,1),(C24-D24)/ABS(D24)))</f>
        <v>0</v>
      </c>
      <c r="F24" s="52" t="n">
        <f aca="false" t="array" ref="F24:F24">IF(E24="","",IF(ABS(E24)&lt;=Summary!$B$4,1,0))</f>
        <v>1</v>
      </c>
      <c r="G24" s="49" t="n">
        <f aca="false" t="array" ref="G24:G24">-29963000/Summary!$B$3</f>
        <v>-29963</v>
      </c>
      <c r="H24" s="50" t="n">
        <v>-29963</v>
      </c>
      <c r="I24" s="51" t="n">
        <f aca="false" t="array" ref="I24:I24">IF(OR(H24="",G24=""),"",IF(H24=0,IF(G24=0,0,1),(G24-H24)/ABS(H24)))</f>
        <v>0</v>
      </c>
      <c r="J24" s="53" t="n">
        <f aca="false" t="array" ref="J24:J24">IF(I24="","",IF(ABS(I24)&lt;=Summary!$B$4,1,0))</f>
        <v>1</v>
      </c>
      <c r="K24" s="54"/>
      <c r="L24" s="55"/>
      <c r="M24" s="28" t="s">
        <v>278</v>
      </c>
      <c r="N24" s="2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3.5" hidden="false" customHeight="true" outlineLevel="0" collapsed="false">
      <c r="A25" s="47" t="s">
        <v>279</v>
      </c>
      <c r="B25" s="48" t="s">
        <v>280</v>
      </c>
      <c r="C25" s="49" t="n">
        <f aca="false" t="array" ref="C25:C25">-44214000/Summary!$B$3</f>
        <v>-44214</v>
      </c>
      <c r="D25" s="50" t="n">
        <v>-44214</v>
      </c>
      <c r="E25" s="51" t="n">
        <f aca="false" t="array" ref="E25:E25">IF(OR(D25="",C25=""),"",IF(D25=0,IF(C25=0,0,1),(C25-D25)/ABS(D25)))</f>
        <v>0</v>
      </c>
      <c r="F25" s="52" t="n">
        <f aca="false" t="array" ref="F25:F25">IF(E25="","",IF(ABS(E25)&lt;=Summary!$B$4,1,0))</f>
        <v>1</v>
      </c>
      <c r="G25" s="49" t="n">
        <f aca="false" t="array" ref="G25:G25">50245000/Summary!$B$3</f>
        <v>50245</v>
      </c>
      <c r="H25" s="50" t="n">
        <v>50245</v>
      </c>
      <c r="I25" s="51" t="n">
        <f aca="false" t="array" ref="I25:I25">IF(OR(H25="",G25=""),"",IF(H25=0,IF(G25=0,0,1),(G25-H25)/ABS(H25)))</f>
        <v>0</v>
      </c>
      <c r="J25" s="53" t="n">
        <f aca="false" t="array" ref="J25:J25">IF(I25="","",IF(ABS(I25)&lt;=Summary!$B$4,1,0))</f>
        <v>1</v>
      </c>
      <c r="K25" s="54"/>
      <c r="L25" s="55"/>
      <c r="M25" s="28" t="s">
        <v>281</v>
      </c>
      <c r="N25" s="2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3.5" hidden="false" customHeight="true" outlineLevel="0" collapsed="false">
      <c r="A26" s="47" t="s">
        <v>193</v>
      </c>
      <c r="B26" s="48" t="s">
        <v>282</v>
      </c>
      <c r="C26" s="49" t="n">
        <f aca="false" t="array" ref="C26:C26">-6672000/Summary!$B$3</f>
        <v>-6672</v>
      </c>
      <c r="D26" s="50" t="n">
        <v>-6672</v>
      </c>
      <c r="E26" s="51" t="n">
        <f aca="false" t="array" ref="E26:E26">IF(OR(D26="",C26=""),"",IF(D26=0,IF(C26=0,0,1),(C26-D26)/ABS(D26)))</f>
        <v>0</v>
      </c>
      <c r="F26" s="52" t="n">
        <f aca="false" t="array" ref="F26:F26">IF(E26="","",IF(ABS(E26)&lt;=Summary!$B$4,1,0))</f>
        <v>1</v>
      </c>
      <c r="G26" s="49" t="n">
        <f aca="false" t="array" ref="G26:G26">7348000/Summary!$B$3</f>
        <v>7348</v>
      </c>
      <c r="H26" s="50" t="n">
        <v>7348</v>
      </c>
      <c r="I26" s="51" t="n">
        <f aca="false" t="array" ref="I26:I26">IF(OR(H26="",G26=""),"",IF(H26=0,IF(G26=0,0,1),(G26-H26)/ABS(H26)))</f>
        <v>0</v>
      </c>
      <c r="J26" s="53" t="n">
        <f aca="false" t="array" ref="J26:J26">IF(I26="","",IF(ABS(I26)&lt;=Summary!$B$4,1,0))</f>
        <v>1</v>
      </c>
      <c r="K26" s="54"/>
      <c r="L26" s="55"/>
      <c r="M26" s="28" t="s">
        <v>283</v>
      </c>
      <c r="N26" s="2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3.5" hidden="false" customHeight="true" outlineLevel="0" collapsed="false">
      <c r="A27" s="56" t="s">
        <v>284</v>
      </c>
      <c r="B27" s="48" t="s">
        <v>285</v>
      </c>
      <c r="C27" s="49" t="n">
        <f aca="false" t="array" ref="C27:C27">2022038000/Summary!$B$3</f>
        <v>2022038</v>
      </c>
      <c r="D27" s="50" t="n">
        <f aca="false" t="array" ref="D27:D27">SUM(D7:D26)</f>
        <v>2022038</v>
      </c>
      <c r="E27" s="51" t="n">
        <f aca="false" t="array" ref="E27:E27">IF(OR(D27="",C27=""),"",IF(D27=0,IF(C27=0,0,1),(C27-D27)/ABS(D27)))</f>
        <v>0</v>
      </c>
      <c r="F27" s="52" t="n">
        <f aca="false" t="array" ref="F27:F27">IF(E27="","",IF(ABS(E27)&lt;=Summary!$B$4,1,0))</f>
        <v>1</v>
      </c>
      <c r="G27" s="49" t="n">
        <f aca="false" t="array" ref="G27:G27">1886500000/Summary!$B$3</f>
        <v>1886500</v>
      </c>
      <c r="H27" s="50" t="n">
        <f aca="false" t="array" ref="H27:H27">SUM(H7:H26)</f>
        <v>1886500</v>
      </c>
      <c r="I27" s="51" t="n">
        <f aca="false" t="array" ref="I27:I27">IF(OR(H27="",G27=""),"",IF(H27=0,IF(G27=0,0,1),(G27-H27)/ABS(H27)))</f>
        <v>0</v>
      </c>
      <c r="J27" s="53" t="n">
        <f aca="false" t="array" ref="J27:J27">IF(I27="","",IF(ABS(I27)&lt;=Summary!$B$4,1,0))</f>
        <v>1</v>
      </c>
      <c r="K27" s="54"/>
      <c r="L27" s="55"/>
      <c r="M27" s="28" t="s">
        <v>286</v>
      </c>
      <c r="N27" s="2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3.5" hidden="false" customHeight="true" outlineLevel="0" collapsed="false">
      <c r="A28" s="57" t="s">
        <v>287</v>
      </c>
      <c r="B28" s="58"/>
      <c r="C28" s="58"/>
      <c r="D28" s="59"/>
      <c r="E28" s="58"/>
      <c r="F28" s="58"/>
      <c r="G28" s="58"/>
      <c r="H28" s="59"/>
      <c r="I28" s="58"/>
      <c r="J28" s="58"/>
      <c r="K28" s="59"/>
      <c r="L28" s="58"/>
      <c r="M28" s="2"/>
      <c r="N28" s="2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3.5" hidden="false" customHeight="true" outlineLevel="0" collapsed="false">
      <c r="A29" s="38" t="s">
        <v>288</v>
      </c>
      <c r="B29" s="39" t="s">
        <v>289</v>
      </c>
      <c r="C29" s="40" t="n">
        <f aca="false" t="array" ref="C29:C29">-555443000/Summary!$B$3</f>
        <v>-555443</v>
      </c>
      <c r="D29" s="41" t="n">
        <v>-555443</v>
      </c>
      <c r="E29" s="42" t="n">
        <f aca="false" t="array" ref="E29:E29">IF(OR(D29="",C29=""),"",IF(D29=0,IF(C29=0,0,1),(C29-D29)/ABS(D29)))</f>
        <v>0</v>
      </c>
      <c r="F29" s="43" t="n">
        <f aca="false" t="array" ref="F29:F29">IF(E29="","",IF(ABS(E29)&lt;=Summary!$B$4,1,0))</f>
        <v>1</v>
      </c>
      <c r="G29" s="40" t="n">
        <f aca="false" t="array" ref="G29:G29">-575864000/Summary!$B$3</f>
        <v>-575864</v>
      </c>
      <c r="H29" s="41" t="n">
        <v>-575864</v>
      </c>
      <c r="I29" s="42" t="n">
        <f aca="false" t="array" ref="I29:I29">IF(OR(H29="",G29=""),"",IF(H29=0,IF(G29=0,0,1),(G29-H29)/ABS(H29)))</f>
        <v>0</v>
      </c>
      <c r="J29" s="44" t="n">
        <f aca="false" t="array" ref="J29:J29">IF(I29="","",IF(ABS(I29)&lt;=Summary!$B$4,1,0))</f>
        <v>1</v>
      </c>
      <c r="K29" s="45"/>
      <c r="L29" s="46"/>
      <c r="M29" s="28" t="s">
        <v>290</v>
      </c>
      <c r="N29" s="2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3.5" hidden="false" customHeight="true" outlineLevel="0" collapsed="false">
      <c r="A30" s="47" t="s">
        <v>291</v>
      </c>
      <c r="B30" s="48" t="s">
        <v>292</v>
      </c>
      <c r="C30" s="49" t="n">
        <f aca="false" t="array" ref="C30:C30">-246068000/Summary!$B$3</f>
        <v>-246068</v>
      </c>
      <c r="D30" s="50" t="n">
        <v>-246068</v>
      </c>
      <c r="E30" s="51" t="n">
        <f aca="false" t="array" ref="E30:E30">IF(OR(D30="",C30=""),"",IF(D30=0,IF(C30=0,0,1),(C30-D30)/ABS(D30)))</f>
        <v>0</v>
      </c>
      <c r="F30" s="52" t="n">
        <f aca="false" t="array" ref="F30:F30">IF(E30="","",IF(ABS(E30)&lt;=Summary!$B$4,1,0))</f>
        <v>1</v>
      </c>
      <c r="G30" s="49" t="n">
        <f aca="false" t="array" ref="G30:G30">-117468000/Summary!$B$3</f>
        <v>-117468</v>
      </c>
      <c r="H30" s="50" t="n">
        <v>-117468</v>
      </c>
      <c r="I30" s="51" t="n">
        <f aca="false" t="array" ref="I30:I30">IF(OR(H30="",G30=""),"",IF(H30=0,IF(G30=0,0,1),(G30-H30)/ABS(H30)))</f>
        <v>0</v>
      </c>
      <c r="J30" s="53" t="n">
        <f aca="false" t="array" ref="J30:J30">IF(I30="","",IF(ABS(I30)&lt;=Summary!$B$4,1,0))</f>
        <v>1</v>
      </c>
      <c r="K30" s="54"/>
      <c r="L30" s="55"/>
      <c r="M30" s="28" t="s">
        <v>293</v>
      </c>
      <c r="N30" s="2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3.5" hidden="false" customHeight="true" outlineLevel="0" collapsed="false">
      <c r="A31" s="47" t="s">
        <v>294</v>
      </c>
      <c r="B31" s="48" t="s">
        <v>295</v>
      </c>
      <c r="C31" s="49" t="n">
        <f aca="false" t="array" ref="C31:C31">25862000/Summary!$B$3</f>
        <v>25862</v>
      </c>
      <c r="D31" s="50" t="n">
        <v>25862</v>
      </c>
      <c r="E31" s="51" t="n">
        <f aca="false" t="array" ref="E31:E31">IF(OR(D31="",C31=""),"",IF(D31=0,IF(C31=0,0,1),(C31-D31)/ABS(D31)))</f>
        <v>0</v>
      </c>
      <c r="F31" s="52" t="n">
        <f aca="false" t="array" ref="F31:F31">IF(E31="","",IF(ABS(E31)&lt;=Summary!$B$4,1,0))</f>
        <v>1</v>
      </c>
      <c r="G31" s="49" t="n">
        <f aca="false" t="array" ref="G31:G31">34173000/Summary!$B$3</f>
        <v>34173</v>
      </c>
      <c r="H31" s="50" t="n">
        <v>34173</v>
      </c>
      <c r="I31" s="51" t="n">
        <f aca="false" t="array" ref="I31:I31">IF(OR(H31="",G31=""),"",IF(H31=0,IF(G31=0,0,1),(G31-H31)/ABS(H31)))</f>
        <v>0</v>
      </c>
      <c r="J31" s="53" t="n">
        <f aca="false" t="array" ref="J31:J31">IF(I31="","",IF(ABS(I31)&lt;=Summary!$B$4,1,0))</f>
        <v>1</v>
      </c>
      <c r="K31" s="54"/>
      <c r="L31" s="55"/>
      <c r="M31" s="28" t="s">
        <v>296</v>
      </c>
      <c r="N31" s="2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3.5" hidden="false" customHeight="true" outlineLevel="0" collapsed="false">
      <c r="A32" s="47" t="s">
        <v>297</v>
      </c>
      <c r="B32" s="48" t="s">
        <v>298</v>
      </c>
      <c r="C32" s="49" t="n">
        <f aca="false" t="array" ref="C32:C32">-15319000/Summary!$B$3</f>
        <v>-15319</v>
      </c>
      <c r="D32" s="50" t="n">
        <v>-15319</v>
      </c>
      <c r="E32" s="51" t="n">
        <f aca="false" t="array" ref="E32:E32">IF(OR(D32="",C32=""),"",IF(D32=0,IF(C32=0,0,1),(C32-D32)/ABS(D32)))</f>
        <v>0</v>
      </c>
      <c r="F32" s="52" t="n">
        <f aca="false" t="array" ref="F32:F32">IF(E32="","",IF(ABS(E32)&lt;=Summary!$B$4,1,0))</f>
        <v>1</v>
      </c>
      <c r="G32" s="49" t="n">
        <f aca="false" t="array" ref="G32:G32">-16405000/Summary!$B$3</f>
        <v>-16405</v>
      </c>
      <c r="H32" s="50" t="n">
        <v>-16405</v>
      </c>
      <c r="I32" s="51" t="n">
        <f aca="false" t="array" ref="I32:I32">IF(OR(H32="",G32=""),"",IF(H32=0,IF(G32=0,0,1),(G32-H32)/ABS(H32)))</f>
        <v>0</v>
      </c>
      <c r="J32" s="53" t="n">
        <f aca="false" t="array" ref="J32:J32">IF(I32="","",IF(ABS(I32)&lt;=Summary!$B$4,1,0))</f>
        <v>1</v>
      </c>
      <c r="K32" s="54"/>
      <c r="L32" s="55"/>
      <c r="M32" s="28" t="s">
        <v>299</v>
      </c>
      <c r="N32" s="2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3.5" hidden="false" customHeight="true" outlineLevel="0" collapsed="false">
      <c r="A33" s="47" t="s">
        <v>300</v>
      </c>
      <c r="B33" s="48" t="s">
        <v>301</v>
      </c>
      <c r="C33" s="49" t="n">
        <f aca="false" t="array" ref="C33:C33">-9140000/Summary!$B$3</f>
        <v>-9140</v>
      </c>
      <c r="D33" s="50" t="n">
        <v>-9140</v>
      </c>
      <c r="E33" s="51" t="n">
        <f aca="false" t="array" ref="E33:E33">IF(OR(D33="",C33=""),"",IF(D33=0,IF(C33=0,0,1),(C33-D33)/ABS(D33)))</f>
        <v>0</v>
      </c>
      <c r="F33" s="52" t="n">
        <f aca="false" t="array" ref="F33:F33">IF(E33="","",IF(ABS(E33)&lt;=Summary!$B$4,1,0))</f>
        <v>1</v>
      </c>
      <c r="G33" s="49" t="n">
        <f aca="false" t="array" ref="G33:G33">-6031000/Summary!$B$3</f>
        <v>-6031</v>
      </c>
      <c r="H33" s="50" t="n">
        <v>-6031</v>
      </c>
      <c r="I33" s="51" t="n">
        <f aca="false" t="array" ref="I33:I33">IF(OR(H33="",G33=""),"",IF(H33=0,IF(G33=0,0,1),(G33-H33)/ABS(H33)))</f>
        <v>0</v>
      </c>
      <c r="J33" s="53" t="n">
        <f aca="false" t="array" ref="J33:J33">IF(I33="","",IF(ABS(I33)&lt;=Summary!$B$4,1,0))</f>
        <v>1</v>
      </c>
      <c r="K33" s="54"/>
      <c r="L33" s="55"/>
      <c r="M33" s="28" t="s">
        <v>302</v>
      </c>
      <c r="N33" s="2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3.5" hidden="false" customHeight="true" outlineLevel="0" collapsed="false">
      <c r="A34" s="47" t="s">
        <v>303</v>
      </c>
      <c r="B34" s="48" t="s">
        <v>304</v>
      </c>
      <c r="C34" s="49" t="n">
        <f aca="false" t="array" ref="C34:C34">22638000/Summary!$B$3</f>
        <v>22638</v>
      </c>
      <c r="D34" s="50" t="n">
        <v>22638</v>
      </c>
      <c r="E34" s="51" t="n">
        <f aca="false" t="array" ref="E34:E34">IF(OR(D34="",C34=""),"",IF(D34=0,IF(C34=0,0,1),(C34-D34)/ABS(D34)))</f>
        <v>0</v>
      </c>
      <c r="F34" s="52" t="n">
        <f aca="false" t="array" ref="F34:F34">IF(E34="","",IF(ABS(E34)&lt;=Summary!$B$4,1,0))</f>
        <v>1</v>
      </c>
      <c r="G34" s="49" t="n">
        <f aca="false" t="array" ref="G34:G34">45413000/Summary!$B$3</f>
        <v>45413</v>
      </c>
      <c r="H34" s="50" t="n">
        <v>45413</v>
      </c>
      <c r="I34" s="51" t="n">
        <f aca="false" t="array" ref="I34:I34">IF(OR(H34="",G34=""),"",IF(H34=0,IF(G34=0,0,1),(G34-H34)/ABS(H34)))</f>
        <v>0</v>
      </c>
      <c r="J34" s="53" t="n">
        <f aca="false" t="array" ref="J34:J34">IF(I34="","",IF(ABS(I34)&lt;=Summary!$B$4,1,0))</f>
        <v>1</v>
      </c>
      <c r="K34" s="54"/>
      <c r="L34" s="55"/>
      <c r="M34" s="28" t="s">
        <v>305</v>
      </c>
      <c r="N34" s="2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3.5" hidden="false" customHeight="true" outlineLevel="0" collapsed="false">
      <c r="A35" s="47" t="s">
        <v>306</v>
      </c>
      <c r="B35" s="48" t="s">
        <v>307</v>
      </c>
      <c r="C35" s="49" t="n">
        <f aca="false" t="array" ref="C35:C35">4566000/Summary!$B$3</f>
        <v>4566</v>
      </c>
      <c r="D35" s="50" t="n">
        <v>4566</v>
      </c>
      <c r="E35" s="51" t="n">
        <f aca="false" t="array" ref="E35:E35">IF(OR(D35="",C35=""),"",IF(D35=0,IF(C35=0,0,1),(C35-D35)/ABS(D35)))</f>
        <v>0</v>
      </c>
      <c r="F35" s="52" t="n">
        <f aca="false" t="array" ref="F35:F35">IF(E35="","",IF(ABS(E35)&lt;=Summary!$B$4,1,0))</f>
        <v>1</v>
      </c>
      <c r="G35" s="49" t="n">
        <f aca="false" t="array" ref="G35:G35">6723000/Summary!$B$3</f>
        <v>6723</v>
      </c>
      <c r="H35" s="50" t="n">
        <v>6723</v>
      </c>
      <c r="I35" s="51" t="n">
        <f aca="false" t="array" ref="I35:I35">IF(OR(H35="",G35=""),"",IF(H35=0,IF(G35=0,0,1),(G35-H35)/ABS(H35)))</f>
        <v>0</v>
      </c>
      <c r="J35" s="53" t="n">
        <f aca="false" t="array" ref="J35:J35">IF(I35="","",IF(ABS(I35)&lt;=Summary!$B$4,1,0))</f>
        <v>1</v>
      </c>
      <c r="K35" s="54"/>
      <c r="L35" s="55"/>
      <c r="M35" s="28" t="s">
        <v>308</v>
      </c>
      <c r="N35" s="2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3.5" hidden="false" customHeight="true" outlineLevel="0" collapsed="false">
      <c r="A36" s="47" t="s">
        <v>309</v>
      </c>
      <c r="B36" s="48" t="s">
        <v>310</v>
      </c>
      <c r="C36" s="49" t="n">
        <f aca="false" t="array" ref="C36:C36">-5205000/Summary!$B$3</f>
        <v>-5205</v>
      </c>
      <c r="D36" s="50" t="n">
        <v>-5205</v>
      </c>
      <c r="E36" s="51" t="n">
        <f aca="false" t="array" ref="E36:E36">IF(OR(D36="",C36=""),"",IF(D36=0,IF(C36=0,0,1),(C36-D36)/ABS(D36)))</f>
        <v>0</v>
      </c>
      <c r="F36" s="52" t="n">
        <f aca="false" t="array" ref="F36:F36">IF(E36="","",IF(ABS(E36)&lt;=Summary!$B$4,1,0))</f>
        <v>1</v>
      </c>
      <c r="G36" s="49" t="n">
        <f aca="false" t="array" ref="G36:G36">-27030000/Summary!$B$3</f>
        <v>-27030</v>
      </c>
      <c r="H36" s="50" t="n">
        <v>-27030</v>
      </c>
      <c r="I36" s="51" t="n">
        <f aca="false" t="array" ref="I36:I36">IF(OR(H36="",G36=""),"",IF(H36=0,IF(G36=0,0,1),(G36-H36)/ABS(H36)))</f>
        <v>0</v>
      </c>
      <c r="J36" s="53" t="n">
        <f aca="false" t="array" ref="J36:J36">IF(I36="","",IF(ABS(I36)&lt;=Summary!$B$4,1,0))</f>
        <v>1</v>
      </c>
      <c r="K36" s="54"/>
      <c r="L36" s="55"/>
      <c r="M36" s="28" t="s">
        <v>311</v>
      </c>
      <c r="N36" s="2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3.5" hidden="false" customHeight="true" outlineLevel="0" collapsed="false">
      <c r="A37" s="47" t="s">
        <v>312</v>
      </c>
      <c r="B37" s="48" t="s">
        <v>313</v>
      </c>
      <c r="C37" s="49" t="n">
        <f aca="false" t="array" ref="C37:C37">6680000/Summary!$B$3</f>
        <v>6680</v>
      </c>
      <c r="D37" s="50" t="n">
        <v>6680</v>
      </c>
      <c r="E37" s="51" t="n">
        <f aca="false" t="array" ref="E37:E37">IF(OR(D37="",C37=""),"",IF(D37=0,IF(C37=0,0,1),(C37-D37)/ABS(D37)))</f>
        <v>0</v>
      </c>
      <c r="F37" s="52" t="n">
        <f aca="false" t="array" ref="F37:F37">IF(E37="","",IF(ABS(E37)&lt;=Summary!$B$4,1,0))</f>
        <v>1</v>
      </c>
      <c r="G37" s="49" t="n">
        <f aca="false" t="array" ref="G37:G37">1540000/Summary!$B$3</f>
        <v>1540</v>
      </c>
      <c r="H37" s="50" t="n">
        <v>1540</v>
      </c>
      <c r="I37" s="51" t="n">
        <f aca="false" t="array" ref="I37:I37">IF(OR(H37="",G37=""),"",IF(H37=0,IF(G37=0,0,1),(G37-H37)/ABS(H37)))</f>
        <v>0</v>
      </c>
      <c r="J37" s="53" t="n">
        <f aca="false" t="array" ref="J37:J37">IF(I37="","",IF(ABS(I37)&lt;=Summary!$B$4,1,0))</f>
        <v>1</v>
      </c>
      <c r="K37" s="54"/>
      <c r="L37" s="55"/>
      <c r="M37" s="28" t="s">
        <v>314</v>
      </c>
      <c r="N37" s="2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3.5" hidden="false" customHeight="true" outlineLevel="0" collapsed="false">
      <c r="A38" s="56" t="s">
        <v>315</v>
      </c>
      <c r="B38" s="48" t="s">
        <v>316</v>
      </c>
      <c r="C38" s="49" t="n">
        <f aca="false" t="array" ref="C38:C38">-771429000/Summary!$B$3</f>
        <v>-771429</v>
      </c>
      <c r="D38" s="50" t="n">
        <f aca="false" t="array" ref="D38:D38">SUM(D29:D37)</f>
        <v>-771429</v>
      </c>
      <c r="E38" s="51" t="n">
        <f aca="false" t="array" ref="E38:E38">IF(OR(D38="",C38=""),"",IF(D38=0,IF(C38=0,0,1),(C38-D38)/ABS(D38)))</f>
        <v>0</v>
      </c>
      <c r="F38" s="52" t="n">
        <f aca="false" t="array" ref="F38:F38">IF(E38="","",IF(ABS(E38)&lt;=Summary!$B$4,1,0))</f>
        <v>1</v>
      </c>
      <c r="G38" s="49" t="n">
        <f aca="false" t="array" ref="G38:G38">-654949000/Summary!$B$3</f>
        <v>-654949</v>
      </c>
      <c r="H38" s="50" t="n">
        <f aca="false" t="array" ref="H38:H38">SUM(H29:H37)</f>
        <v>-654949</v>
      </c>
      <c r="I38" s="51" t="n">
        <f aca="false" t="array" ref="I38:I38">IF(OR(H38="",G38=""),"",IF(H38=0,IF(G38=0,0,1),(G38-H38)/ABS(H38)))</f>
        <v>0</v>
      </c>
      <c r="J38" s="53" t="n">
        <f aca="false" t="array" ref="J38:J38">IF(I38="","",IF(ABS(I38)&lt;=Summary!$B$4,1,0))</f>
        <v>1</v>
      </c>
      <c r="K38" s="54"/>
      <c r="L38" s="55"/>
      <c r="M38" s="28" t="s">
        <v>317</v>
      </c>
      <c r="N38" s="2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3.5" hidden="false" customHeight="true" outlineLevel="0" collapsed="false">
      <c r="A39" s="57" t="s">
        <v>318</v>
      </c>
      <c r="B39" s="58"/>
      <c r="C39" s="58"/>
      <c r="D39" s="59"/>
      <c r="E39" s="58"/>
      <c r="F39" s="58"/>
      <c r="G39" s="58"/>
      <c r="H39" s="59"/>
      <c r="I39" s="58"/>
      <c r="J39" s="58"/>
      <c r="K39" s="59"/>
      <c r="L39" s="58"/>
      <c r="M39" s="2"/>
      <c r="N39" s="2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3.5" hidden="false" customHeight="true" outlineLevel="0" collapsed="false">
      <c r="A40" s="38" t="s">
        <v>319</v>
      </c>
      <c r="B40" s="39" t="s">
        <v>320</v>
      </c>
      <c r="C40" s="40" t="n">
        <f aca="false" t="array" ref="C40:C40">6624310000/Summary!$B$3</f>
        <v>6624310</v>
      </c>
      <c r="D40" s="41" t="n">
        <v>6624310</v>
      </c>
      <c r="E40" s="42" t="n">
        <f aca="false" t="array" ref="E40:E40">IF(OR(D40="",C40=""),"",IF(D40=0,IF(C40=0,0,1),(C40-D40)/ABS(D40)))</f>
        <v>0</v>
      </c>
      <c r="F40" s="43" t="n">
        <f aca="false" t="array" ref="F40:F40">IF(E40="","",IF(ABS(E40)&lt;=Summary!$B$4,1,0))</f>
        <v>1</v>
      </c>
      <c r="G40" s="40" t="n">
        <f aca="false" t="array" ref="G40:G40">5612280000/Summary!$B$3</f>
        <v>5612280</v>
      </c>
      <c r="H40" s="41" t="n">
        <v>5612280</v>
      </c>
      <c r="I40" s="42" t="n">
        <f aca="false" t="array" ref="I40:I40">IF(OR(H40="",G40=""),"",IF(H40=0,IF(G40=0,0,1),(G40-H40)/ABS(H40)))</f>
        <v>0</v>
      </c>
      <c r="J40" s="44" t="n">
        <f aca="false" t="array" ref="J40:J40">IF(I40="","",IF(ABS(I40)&lt;=Summary!$B$4,1,0))</f>
        <v>1</v>
      </c>
      <c r="K40" s="45"/>
      <c r="L40" s="46"/>
      <c r="M40" s="28" t="s">
        <v>321</v>
      </c>
      <c r="N40" s="2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3.5" hidden="false" customHeight="true" outlineLevel="0" collapsed="false">
      <c r="A41" s="47" t="s">
        <v>322</v>
      </c>
      <c r="B41" s="48" t="s">
        <v>323</v>
      </c>
      <c r="C41" s="49" t="n">
        <f aca="false" t="array" ref="C41:C41">-5515213000/Summary!$B$3</f>
        <v>-5515213</v>
      </c>
      <c r="D41" s="50" t="n">
        <v>-5515213</v>
      </c>
      <c r="E41" s="51" t="n">
        <f aca="false" t="array" ref="E41:E41">IF(OR(D41="",C41=""),"",IF(D41=0,IF(C41=0,0,1),(C41-D41)/ABS(D41)))</f>
        <v>0</v>
      </c>
      <c r="F41" s="52" t="n">
        <f aca="false" t="array" ref="F41:F41">IF(E41="","",IF(ABS(E41)&lt;=Summary!$B$4,1,0))</f>
        <v>1</v>
      </c>
      <c r="G41" s="49" t="n">
        <f aca="false" t="array" ref="G41:G41">-4788845000/Summary!$B$3</f>
        <v>-4788845</v>
      </c>
      <c r="H41" s="50" t="n">
        <v>-4788845</v>
      </c>
      <c r="I41" s="51" t="n">
        <f aca="false" t="array" ref="I41:I41">IF(OR(H41="",G41=""),"",IF(H41=0,IF(G41=0,0,1),(G41-H41)/ABS(H41)))</f>
        <v>0</v>
      </c>
      <c r="J41" s="53" t="n">
        <f aca="false" t="array" ref="J41:J41">IF(I41="","",IF(ABS(I41)&lt;=Summary!$B$4,1,0))</f>
        <v>1</v>
      </c>
      <c r="K41" s="54"/>
      <c r="L41" s="55"/>
      <c r="M41" s="28" t="s">
        <v>324</v>
      </c>
      <c r="N41" s="2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3.5" hidden="false" customHeight="true" outlineLevel="0" collapsed="false">
      <c r="A42" s="47" t="s">
        <v>325</v>
      </c>
      <c r="B42" s="48" t="s">
        <v>326</v>
      </c>
      <c r="C42" s="49" t="n">
        <f aca="false" t="array" ref="C42:C42">-50874000/Summary!$B$3</f>
        <v>-50874</v>
      </c>
      <c r="D42" s="50" t="n">
        <v>-50874</v>
      </c>
      <c r="E42" s="51" t="n">
        <f aca="false" t="array" ref="E42:E42">IF(OR(D42="",C42=""),"",IF(D42=0,IF(C42=0,0,1),(C42-D42)/ABS(D42)))</f>
        <v>0</v>
      </c>
      <c r="F42" s="52" t="n">
        <f aca="false" t="array" ref="F42:F42">IF(E42="","",IF(ABS(E42)&lt;=Summary!$B$4,1,0))</f>
        <v>1</v>
      </c>
      <c r="G42" s="49" t="n">
        <f aca="false" t="array" ref="G42:G42">-53819000/Summary!$B$3</f>
        <v>-53819</v>
      </c>
      <c r="H42" s="50" t="n">
        <v>-53819</v>
      </c>
      <c r="I42" s="51" t="n">
        <f aca="false" t="array" ref="I42:I42">IF(OR(H42="",G42=""),"",IF(H42=0,IF(G42=0,0,1),(G42-H42)/ABS(H42)))</f>
        <v>0</v>
      </c>
      <c r="J42" s="53" t="n">
        <f aca="false" t="array" ref="J42:J42">IF(I42="","",IF(ABS(I42)&lt;=Summary!$B$4,1,0))</f>
        <v>1</v>
      </c>
      <c r="K42" s="54"/>
      <c r="L42" s="55"/>
      <c r="M42" s="28" t="s">
        <v>327</v>
      </c>
      <c r="N42" s="2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3.5" hidden="false" customHeight="true" outlineLevel="0" collapsed="false">
      <c r="A43" s="47" t="s">
        <v>328</v>
      </c>
      <c r="B43" s="48" t="s">
        <v>329</v>
      </c>
      <c r="C43" s="49" t="n">
        <f aca="false" t="array" ref="C43:C43">0/Summary!$B$3</f>
        <v>0</v>
      </c>
      <c r="D43" s="50" t="n">
        <v>0</v>
      </c>
      <c r="E43" s="51" t="n">
        <f aca="false" t="array" ref="E43:E43">IF(OR(D43="",C43=""),"",IF(D43=0,IF(C43=0,0,1),(C43-D43)/ABS(D43)))</f>
        <v>0</v>
      </c>
      <c r="F43" s="52" t="n">
        <f aca="false" t="array" ref="F43:F43">IF(E43="","",IF(ABS(E43)&lt;=Summary!$B$4,1,0))</f>
        <v>1</v>
      </c>
      <c r="G43" s="49" t="n">
        <f aca="false" t="array" ref="G43:G43">-484633000/Summary!$B$3</f>
        <v>-484633</v>
      </c>
      <c r="H43" s="50" t="n">
        <v>-484633</v>
      </c>
      <c r="I43" s="51" t="n">
        <f aca="false" t="array" ref="I43:I43">IF(OR(H43="",G43=""),"",IF(H43=0,IF(G43=0,0,1),(G43-H43)/ABS(H43)))</f>
        <v>0</v>
      </c>
      <c r="J43" s="53" t="n">
        <f aca="false" t="array" ref="J43:J43">IF(I43="","",IF(ABS(I43)&lt;=Summary!$B$4,1,0))</f>
        <v>1</v>
      </c>
      <c r="K43" s="54"/>
      <c r="L43" s="55"/>
      <c r="M43" s="28" t="s">
        <v>330</v>
      </c>
      <c r="N43" s="2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3.5" hidden="false" customHeight="true" outlineLevel="0" collapsed="false">
      <c r="A44" s="47" t="s">
        <v>331</v>
      </c>
      <c r="B44" s="48" t="s">
        <v>332</v>
      </c>
      <c r="C44" s="49" t="n">
        <f aca="false" t="array" ref="C44:C44">-1385932000/Summary!$B$3</f>
        <v>-1385932</v>
      </c>
      <c r="D44" s="50" t="n">
        <v>-1385932</v>
      </c>
      <c r="E44" s="51" t="n">
        <f aca="false" t="array" ref="E44:E44">IF(OR(D44="",C44=""),"",IF(D44=0,IF(C44=0,0,1),(C44-D44)/ABS(D44)))</f>
        <v>0</v>
      </c>
      <c r="F44" s="52" t="n">
        <f aca="false" t="array" ref="F44:F44">IF(E44="","",IF(ABS(E44)&lt;=Summary!$B$4,1,0))</f>
        <v>1</v>
      </c>
      <c r="G44" s="49" t="n">
        <f aca="false" t="array" ref="G44:G44">-1308366000/Summary!$B$3</f>
        <v>-1308366</v>
      </c>
      <c r="H44" s="50" t="n">
        <v>-1308366</v>
      </c>
      <c r="I44" s="51" t="n">
        <f aca="false" t="array" ref="I44:I44">IF(OR(H44="",G44=""),"",IF(H44=0,IF(G44=0,0,1),(G44-H44)/ABS(H44)))</f>
        <v>0</v>
      </c>
      <c r="J44" s="53" t="n">
        <f aca="false" t="array" ref="J44:J44">IF(I44="","",IF(ABS(I44)&lt;=Summary!$B$4,1,0))</f>
        <v>1</v>
      </c>
      <c r="K44" s="54"/>
      <c r="L44" s="55"/>
      <c r="M44" s="28" t="s">
        <v>333</v>
      </c>
      <c r="N44" s="2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3.5" hidden="false" customHeight="true" outlineLevel="0" collapsed="false">
      <c r="A45" s="47" t="s">
        <v>334</v>
      </c>
      <c r="B45" s="48" t="s">
        <v>335</v>
      </c>
      <c r="C45" s="49" t="n">
        <f aca="false" t="array" ref="C45:C45">-337042000/Summary!$B$3</f>
        <v>-337042</v>
      </c>
      <c r="D45" s="50" t="n">
        <v>-337042</v>
      </c>
      <c r="E45" s="51" t="n">
        <f aca="false" t="array" ref="E45:E45">IF(OR(D45="",C45=""),"",IF(D45=0,IF(C45=0,0,1),(C45-D45)/ABS(D45)))</f>
        <v>0</v>
      </c>
      <c r="F45" s="52" t="n">
        <f aca="false" t="array" ref="F45:F45">IF(E45="","",IF(ABS(E45)&lt;=Summary!$B$4,1,0))</f>
        <v>1</v>
      </c>
      <c r="G45" s="49" t="n">
        <f aca="false" t="array" ref="G45:G45">-324270000/Summary!$B$3</f>
        <v>-324270</v>
      </c>
      <c r="H45" s="50" t="n">
        <v>-324270</v>
      </c>
      <c r="I45" s="51" t="n">
        <f aca="false" t="array" ref="I45:I45">IF(OR(H45="",G45=""),"",IF(H45=0,IF(G45=0,0,1),(G45-H45)/ABS(H45)))</f>
        <v>0</v>
      </c>
      <c r="J45" s="53" t="n">
        <f aca="false" t="array" ref="J45:J45">IF(I45="","",IF(ABS(I45)&lt;=Summary!$B$4,1,0))</f>
        <v>1</v>
      </c>
      <c r="K45" s="54"/>
      <c r="L45" s="55"/>
      <c r="M45" s="28" t="s">
        <v>336</v>
      </c>
      <c r="N45" s="2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3.5" hidden="false" customHeight="true" outlineLevel="0" collapsed="false">
      <c r="A46" s="47" t="s">
        <v>337</v>
      </c>
      <c r="B46" s="48" t="s">
        <v>338</v>
      </c>
      <c r="C46" s="49" t="n">
        <f aca="false" t="array" ref="C46:C46">20453000/Summary!$B$3</f>
        <v>20453</v>
      </c>
      <c r="D46" s="50" t="n">
        <v>20453</v>
      </c>
      <c r="E46" s="51" t="n">
        <f aca="false" t="array" ref="E46:E46">IF(OR(D46="",C46=""),"",IF(D46=0,IF(C46=0,0,1),(C46-D46)/ABS(D46)))</f>
        <v>0</v>
      </c>
      <c r="F46" s="52" t="n">
        <f aca="false" t="array" ref="F46:F46">IF(E46="","",IF(ABS(E46)&lt;=Summary!$B$4,1,0))</f>
        <v>1</v>
      </c>
      <c r="G46" s="49" t="n">
        <f aca="false" t="array" ref="G46:G46">23290000/Summary!$B$3</f>
        <v>23290</v>
      </c>
      <c r="H46" s="50" t="n">
        <v>23290</v>
      </c>
      <c r="I46" s="51" t="n">
        <f aca="false" t="array" ref="I46:I46">IF(OR(H46="",G46=""),"",IF(H46=0,IF(G46=0,0,1),(G46-H46)/ABS(H46)))</f>
        <v>0</v>
      </c>
      <c r="J46" s="53" t="n">
        <f aca="false" t="array" ref="J46:J46">IF(I46="","",IF(ABS(I46)&lt;=Summary!$B$4,1,0))</f>
        <v>1</v>
      </c>
      <c r="K46" s="54"/>
      <c r="L46" s="55"/>
      <c r="M46" s="28" t="s">
        <v>339</v>
      </c>
      <c r="N46" s="2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3.5" hidden="false" customHeight="true" outlineLevel="0" collapsed="false">
      <c r="A47" s="47" t="s">
        <v>340</v>
      </c>
      <c r="B47" s="48" t="s">
        <v>341</v>
      </c>
      <c r="C47" s="49" t="n">
        <f aca="false" t="array" ref="C47:C47">-134040000/Summary!$B$3</f>
        <v>-134040</v>
      </c>
      <c r="D47" s="50" t="n">
        <v>-134040</v>
      </c>
      <c r="E47" s="51" t="n">
        <f aca="false" t="array" ref="E47:E47">IF(OR(D47="",C47=""),"",IF(D47=0,IF(C47=0,0,1),(C47-D47)/ABS(D47)))</f>
        <v>0</v>
      </c>
      <c r="F47" s="52" t="n">
        <f aca="false" t="array" ref="F47:F47">IF(E47="","",IF(ABS(E47)&lt;=Summary!$B$4,1,0))</f>
        <v>1</v>
      </c>
      <c r="G47" s="49" t="n">
        <f aca="false" t="array" ref="G47:G47">-35291000/Summary!$B$3</f>
        <v>-35291</v>
      </c>
      <c r="H47" s="50" t="n">
        <v>-35291</v>
      </c>
      <c r="I47" s="51" t="n">
        <f aca="false" t="array" ref="I47:I47">IF(OR(H47="",G47=""),"",IF(H47=0,IF(G47=0,0,1),(G47-H47)/ABS(H47)))</f>
        <v>0</v>
      </c>
      <c r="J47" s="53" t="n">
        <f aca="false" t="array" ref="J47:J47">IF(I47="","",IF(ABS(I47)&lt;=Summary!$B$4,1,0))</f>
        <v>1</v>
      </c>
      <c r="K47" s="54"/>
      <c r="L47" s="55"/>
      <c r="M47" s="28" t="s">
        <v>342</v>
      </c>
      <c r="N47" s="2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3.5" hidden="false" customHeight="true" outlineLevel="0" collapsed="false">
      <c r="A48" s="47" t="s">
        <v>343</v>
      </c>
      <c r="B48" s="48" t="s">
        <v>344</v>
      </c>
      <c r="C48" s="49" t="n">
        <f aca="false" t="array" ref="C48:C48">14499000/Summary!$B$3</f>
        <v>14499</v>
      </c>
      <c r="D48" s="50" t="n">
        <v>14499</v>
      </c>
      <c r="E48" s="51" t="n">
        <f aca="false" t="array" ref="E48:E48">IF(OR(D48="",C48=""),"",IF(D48=0,IF(C48=0,0,1),(C48-D48)/ABS(D48)))</f>
        <v>0</v>
      </c>
      <c r="F48" s="52" t="n">
        <f aca="false" t="array" ref="F48:F48">IF(E48="","",IF(ABS(E48)&lt;=Summary!$B$4,1,0))</f>
        <v>1</v>
      </c>
      <c r="G48" s="49" t="n">
        <f aca="false" t="array" ref="G48:G48">7078000/Summary!$B$3</f>
        <v>7078</v>
      </c>
      <c r="H48" s="50" t="n">
        <v>7078</v>
      </c>
      <c r="I48" s="51" t="n">
        <f aca="false" t="array" ref="I48:I48">IF(OR(H48="",G48=""),"",IF(H48=0,IF(G48=0,0,1),(G48-H48)/ABS(H48)))</f>
        <v>0</v>
      </c>
      <c r="J48" s="53" t="n">
        <f aca="false" t="array" ref="J48:J48">IF(I48="","",IF(ABS(I48)&lt;=Summary!$B$4,1,0))</f>
        <v>1</v>
      </c>
      <c r="K48" s="54"/>
      <c r="L48" s="55"/>
      <c r="M48" s="28" t="s">
        <v>345</v>
      </c>
      <c r="N48" s="2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3.5" hidden="false" customHeight="true" outlineLevel="0" collapsed="false">
      <c r="A49" s="47" t="s">
        <v>346</v>
      </c>
      <c r="B49" s="48" t="s">
        <v>347</v>
      </c>
      <c r="C49" s="49" t="n">
        <f aca="false" t="array" ref="C49:C49">860000/Summary!$B$3</f>
        <v>860</v>
      </c>
      <c r="D49" s="50" t="n">
        <v>860</v>
      </c>
      <c r="E49" s="51" t="n">
        <f aca="false" t="array" ref="E49:E49">IF(OR(D49="",C49=""),"",IF(D49=0,IF(C49=0,0,1),(C49-D49)/ABS(D49)))</f>
        <v>0</v>
      </c>
      <c r="F49" s="52" t="n">
        <f aca="false" t="array" ref="F49:F49">IF(E49="","",IF(ABS(E49)&lt;=Summary!$B$4,1,0))</f>
        <v>1</v>
      </c>
      <c r="G49" s="49" t="n">
        <f aca="false" t="array" ref="G49:G49">3794000/Summary!$B$3</f>
        <v>3794</v>
      </c>
      <c r="H49" s="50" t="n">
        <v>3794</v>
      </c>
      <c r="I49" s="51" t="n">
        <f aca="false" t="array" ref="I49:I49">IF(OR(H49="",G49=""),"",IF(H49=0,IF(G49=0,0,1),(G49-H49)/ABS(H49)))</f>
        <v>0</v>
      </c>
      <c r="J49" s="53" t="n">
        <f aca="false" t="array" ref="J49:J49">IF(I49="","",IF(ABS(I49)&lt;=Summary!$B$4,1,0))</f>
        <v>1</v>
      </c>
      <c r="K49" s="54"/>
      <c r="L49" s="55"/>
      <c r="M49" s="28" t="s">
        <v>348</v>
      </c>
      <c r="N49" s="2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3.5" hidden="false" customHeight="true" outlineLevel="0" collapsed="false">
      <c r="A50" s="47" t="s">
        <v>349</v>
      </c>
      <c r="B50" s="48" t="s">
        <v>350</v>
      </c>
      <c r="C50" s="49" t="n">
        <f aca="false" t="array" ref="C50:C50">-53958000/Summary!$B$3</f>
        <v>-53958</v>
      </c>
      <c r="D50" s="50" t="n">
        <v>-53958</v>
      </c>
      <c r="E50" s="51" t="n">
        <f aca="false" t="array" ref="E50:E50">IF(OR(D50="",C50=""),"",IF(D50=0,IF(C50=0,0,1),(C50-D50)/ABS(D50)))</f>
        <v>0</v>
      </c>
      <c r="F50" s="52" t="n">
        <f aca="false" t="array" ref="F50:F50">IF(E50="","",IF(ABS(E50)&lt;=Summary!$B$4,1,0))</f>
        <v>1</v>
      </c>
      <c r="G50" s="49" t="n">
        <f aca="false" t="array" ref="G50:G50">-25998000/Summary!$B$3</f>
        <v>-25998</v>
      </c>
      <c r="H50" s="50" t="n">
        <v>-25998</v>
      </c>
      <c r="I50" s="51" t="n">
        <f aca="false" t="array" ref="I50:I50">IF(OR(H50="",G50=""),"",IF(H50=0,IF(G50=0,0,1),(G50-H50)/ABS(H50)))</f>
        <v>0</v>
      </c>
      <c r="J50" s="53" t="n">
        <f aca="false" t="array" ref="J50:J50">IF(I50="","",IF(ABS(I50)&lt;=Summary!$B$4,1,0))</f>
        <v>1</v>
      </c>
      <c r="K50" s="54"/>
      <c r="L50" s="55"/>
      <c r="M50" s="28" t="s">
        <v>351</v>
      </c>
      <c r="N50" s="2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3.5" hidden="false" customHeight="true" outlineLevel="0" collapsed="false">
      <c r="A51" s="56" t="s">
        <v>352</v>
      </c>
      <c r="B51" s="48" t="s">
        <v>353</v>
      </c>
      <c r="C51" s="49" t="n">
        <f aca="false" t="array" ref="C51:C51">-816937000/Summary!$B$3</f>
        <v>-816937</v>
      </c>
      <c r="D51" s="50" t="n">
        <f aca="false" t="array" ref="D51:D51">SUM(D40:D50)</f>
        <v>-816937</v>
      </c>
      <c r="E51" s="51" t="n">
        <f aca="false" t="array" ref="E51:E51">IF(OR(D51="",C51=""),"",IF(D51=0,IF(C51=0,0,1),(C51-D51)/ABS(D51)))</f>
        <v>0</v>
      </c>
      <c r="F51" s="52" t="n">
        <f aca="false" t="array" ref="F51:F51">IF(E51="","",IF(ABS(E51)&lt;=Summary!$B$4,1,0))</f>
        <v>1</v>
      </c>
      <c r="G51" s="49" t="n">
        <f aca="false" t="array" ref="G51:G51">-1374780000/Summary!$B$3</f>
        <v>-1374780</v>
      </c>
      <c r="H51" s="50" t="n">
        <f aca="false" t="array" ref="H51:H51">SUM(H40:H50)</f>
        <v>-1374780</v>
      </c>
      <c r="I51" s="51" t="n">
        <f aca="false" t="array" ref="I51:I51">IF(OR(H51="",G51=""),"",IF(H51=0,IF(G51=0,0,1),(G51-H51)/ABS(H51)))</f>
        <v>0</v>
      </c>
      <c r="J51" s="53" t="n">
        <f aca="false" t="array" ref="J51:J51">IF(I51="","",IF(ABS(I51)&lt;=Summary!$B$4,1,0))</f>
        <v>1</v>
      </c>
      <c r="K51" s="54"/>
      <c r="L51" s="55"/>
      <c r="M51" s="28" t="s">
        <v>354</v>
      </c>
      <c r="N51" s="2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3.5" hidden="false" customHeight="true" outlineLevel="0" collapsed="false">
      <c r="A52" s="47" t="s">
        <v>355</v>
      </c>
      <c r="B52" s="48" t="s">
        <v>356</v>
      </c>
      <c r="C52" s="49" t="n">
        <f aca="false" t="array" ref="C52:C52">-18481000/Summary!$B$3</f>
        <v>-18481</v>
      </c>
      <c r="D52" s="50" t="n">
        <v>-18481</v>
      </c>
      <c r="E52" s="51" t="n">
        <f aca="false" t="array" ref="E52:E52">IF(OR(D52="",C52=""),"",IF(D52=0,IF(C52=0,0,1),(C52-D52)/ABS(D52)))</f>
        <v>0</v>
      </c>
      <c r="F52" s="52" t="n">
        <f aca="false" t="array" ref="F52:F52">IF(E52="","",IF(ABS(E52)&lt;=Summary!$B$4,1,0))</f>
        <v>1</v>
      </c>
      <c r="G52" s="49" t="n">
        <f aca="false" t="array" ref="G52:G52">21151000/Summary!$B$3</f>
        <v>21151</v>
      </c>
      <c r="H52" s="50" t="n">
        <v>21151</v>
      </c>
      <c r="I52" s="51" t="n">
        <f aca="false" t="array" ref="I52:I52">IF(OR(H52="",G52=""),"",IF(H52=0,IF(G52=0,0,1),(G52-H52)/ABS(H52)))</f>
        <v>0</v>
      </c>
      <c r="J52" s="53" t="n">
        <f aca="false" t="array" ref="J52:J52">IF(I52="","",IF(ABS(I52)&lt;=Summary!$B$4,1,0))</f>
        <v>1</v>
      </c>
      <c r="K52" s="54"/>
      <c r="L52" s="55"/>
      <c r="M52" s="28" t="s">
        <v>357</v>
      </c>
      <c r="N52" s="2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3.5" hidden="false" customHeight="true" outlineLevel="0" collapsed="false">
      <c r="A53" s="56" t="s">
        <v>358</v>
      </c>
      <c r="B53" s="48" t="s">
        <v>359</v>
      </c>
      <c r="C53" s="49" t="n">
        <f aca="false" t="array" ref="C53:C53">415191000/Summary!$B$3</f>
        <v>415191</v>
      </c>
      <c r="D53" s="50" t="n">
        <v>415191</v>
      </c>
      <c r="E53" s="51" t="n">
        <f aca="false" t="array" ref="E53:E53">IF(OR(D53="",C53=""),"",IF(D53=0,IF(C53=0,0,1),(C53-D53)/ABS(D53)))</f>
        <v>0</v>
      </c>
      <c r="F53" s="52" t="n">
        <f aca="false" t="array" ref="F53:F53">IF(E53="","",IF(ABS(E53)&lt;=Summary!$B$4,1,0))</f>
        <v>1</v>
      </c>
      <c r="G53" s="49" t="n">
        <f aca="false" t="array" ref="G53:G53">-122078000/Summary!$B$3</f>
        <v>-122078</v>
      </c>
      <c r="H53" s="50" t="n">
        <v>-122078</v>
      </c>
      <c r="I53" s="51" t="n">
        <f aca="false" t="array" ref="I53:I53">IF(OR(H53="",G53=""),"",IF(H53=0,IF(G53=0,0,1),(G53-H53)/ABS(H53)))</f>
        <v>0</v>
      </c>
      <c r="J53" s="53" t="n">
        <f aca="false" t="array" ref="J53:J53">IF(I53="","",IF(ABS(I53)&lt;=Summary!$B$4,1,0))</f>
        <v>1</v>
      </c>
      <c r="K53" s="54"/>
      <c r="L53" s="55"/>
      <c r="M53" s="28" t="s">
        <v>360</v>
      </c>
      <c r="N53" s="2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3.5" hidden="false" customHeight="true" outlineLevel="0" collapsed="false">
      <c r="A54" s="47" t="s">
        <v>361</v>
      </c>
      <c r="B54" s="48" t="s">
        <v>362</v>
      </c>
      <c r="C54" s="49" t="n">
        <f aca="false" t="array" ref="C54:C54">464634000/Summary!$B$3</f>
        <v>464634</v>
      </c>
      <c r="D54" s="50" t="n">
        <v>464634</v>
      </c>
      <c r="E54" s="51" t="n">
        <f aca="false" t="array" ref="E54:E54">IF(OR(D54="",C54=""),"",IF(D54=0,IF(C54=0,0,1),(C54-D54)/ABS(D54)))</f>
        <v>0</v>
      </c>
      <c r="F54" s="52" t="n">
        <f aca="false" t="array" ref="F54:F54">IF(E54="","",IF(ABS(E54)&lt;=Summary!$B$4,1,0))</f>
        <v>1</v>
      </c>
      <c r="G54" s="49" t="n">
        <f aca="false" t="array" ref="G54:G54">879825000/Summary!$B$3</f>
        <v>879825</v>
      </c>
      <c r="H54" s="50" t="n">
        <v>879825</v>
      </c>
      <c r="I54" s="51" t="n">
        <f aca="false" t="array" ref="I54:I54">IF(OR(H54="",G54=""),"",IF(H54=0,IF(G54=0,0,1),(G54-H54)/ABS(H54)))</f>
        <v>0</v>
      </c>
      <c r="J54" s="53" t="n">
        <f aca="false" t="array" ref="J54:J54">IF(I54="","",IF(ABS(I54)&lt;=Summary!$B$4,1,0))</f>
        <v>1</v>
      </c>
      <c r="K54" s="54"/>
      <c r="L54" s="55"/>
      <c r="M54" s="28" t="s">
        <v>363</v>
      </c>
      <c r="N54" s="2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3.5" hidden="false" customHeight="true" outlineLevel="0" collapsed="false">
      <c r="A55" s="47" t="s">
        <v>364</v>
      </c>
      <c r="B55" s="48" t="s">
        <v>362</v>
      </c>
      <c r="C55" s="49" t="n">
        <f aca="false" t="array" ref="C55:C55">879825000/Summary!$B$3</f>
        <v>879825</v>
      </c>
      <c r="D55" s="50" t="n">
        <f aca="false" t="array" ref="D55:D55">SUM(D53:D54)</f>
        <v>879825</v>
      </c>
      <c r="E55" s="51" t="n">
        <f aca="false" t="array" ref="E55:E55">IF(OR(D55="",C55=""),"",IF(D55=0,IF(C55=0,0,1),(C55-D55)/ABS(D55)))</f>
        <v>0</v>
      </c>
      <c r="F55" s="52" t="n">
        <f aca="false" t="array" ref="F55:F55">IF(E55="","",IF(ABS(E55)&lt;=Summary!$B$4,1,0))</f>
        <v>1</v>
      </c>
      <c r="G55" s="49" t="n">
        <f aca="false" t="array" ref="G55:G55">757747000/Summary!$B$3</f>
        <v>757747</v>
      </c>
      <c r="H55" s="50" t="n">
        <f aca="false" t="array" ref="H55:H55">SUM(H53:H54)</f>
        <v>757747</v>
      </c>
      <c r="I55" s="51" t="n">
        <f aca="false" t="array" ref="I55:I55">IF(OR(H55="",G55=""),"",IF(H55=0,IF(G55=0,0,1),(G55-H55)/ABS(H55)))</f>
        <v>0</v>
      </c>
      <c r="J55" s="53" t="n">
        <f aca="false" t="array" ref="J55:J55">IF(I55="","",IF(ABS(I55)&lt;=Summary!$B$4,1,0))</f>
        <v>1</v>
      </c>
      <c r="K55" s="54"/>
      <c r="L55" s="55"/>
      <c r="M55" s="28" t="s">
        <v>365</v>
      </c>
      <c r="N55" s="2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C4:F4"/>
    <mergeCell ref="G4:J4"/>
  </mergeCells>
  <hyperlinks>
    <hyperlink ref="A3" r:id="rId2" display="Open this statement on SEC.gov"/>
  </hyperlinks>
  <printOptions headings="false" gridLines="false" gridLinesSet="true" horizontalCentered="false" verticalCentered="false"/>
  <pageMargins left="0.75" right="0.75" top="1" bottom="1" header="0.511811023622047" footer="0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&amp;C000000&amp;P</oddFooter>
  </headerFooter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4"/>
    <col collapsed="false" customWidth="true" hidden="false" outlineLevel="0" max="4" min="3" style="0" width="13"/>
    <col collapsed="false" customWidth="true" hidden="false" outlineLevel="0" max="5" min="5" style="0" width="9"/>
    <col collapsed="false" customWidth="true" hidden="false" outlineLevel="0" max="6" min="6" style="0" width="5"/>
    <col collapsed="false" customWidth="true" hidden="false" outlineLevel="0" max="8" min="7" style="0" width="13"/>
    <col collapsed="false" customWidth="true" hidden="false" outlineLevel="0" max="9" min="9" style="0" width="9"/>
    <col collapsed="false" customWidth="true" hidden="false" outlineLevel="0" max="10" min="10" style="0" width="5"/>
    <col collapsed="false" customWidth="true" hidden="false" outlineLevel="0" max="11" min="11" style="0" width="24"/>
    <col collapsed="false" customWidth="true" hidden="false" outlineLevel="0" max="12" min="12" style="0" width="22"/>
    <col collapsed="false" customWidth="true" hidden="true" outlineLevel="0" max="13" min="13" style="0" width="8.86"/>
    <col collapsed="false" customWidth="true" hidden="false" outlineLevel="0" max="26" min="14" style="0" width="8.86"/>
  </cols>
  <sheetData>
    <row r="1" customFormat="false" ht="18" hidden="false" customHeight="true" outlineLevel="0" collapsed="false">
      <c r="A1" s="1" t="s">
        <v>366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3.5" hidden="false" customHeight="true" outlineLevel="0" collapsed="false">
      <c r="A2" s="28" t="s">
        <v>367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3.5" hidden="false" customHeight="true" outlineLevel="0" collapsed="false">
      <c r="A3" s="2"/>
      <c r="B3" s="2"/>
      <c r="C3" s="4"/>
      <c r="D3" s="2"/>
      <c r="E3" s="2"/>
      <c r="F3" s="2"/>
      <c r="G3" s="4"/>
      <c r="H3" s="2"/>
      <c r="I3" s="2"/>
      <c r="J3" s="2"/>
      <c r="K3" s="2"/>
      <c r="L3" s="2"/>
      <c r="M3" s="2"/>
      <c r="N3" s="2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3.5" hidden="false" customHeight="true" outlineLevel="0" collapsed="false">
      <c r="A4" s="4"/>
      <c r="B4" s="30"/>
      <c r="C4" s="31" t="s">
        <v>24</v>
      </c>
      <c r="D4" s="31"/>
      <c r="E4" s="31"/>
      <c r="F4" s="31"/>
      <c r="G4" s="32" t="s">
        <v>25</v>
      </c>
      <c r="H4" s="32"/>
      <c r="I4" s="32"/>
      <c r="J4" s="32"/>
      <c r="K4" s="4"/>
      <c r="L4" s="4"/>
      <c r="M4" s="4"/>
      <c r="N4" s="2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3.5" hidden="false" customHeight="true" outlineLevel="0" collapsed="false">
      <c r="A5" s="33" t="s">
        <v>26</v>
      </c>
      <c r="B5" s="34" t="s">
        <v>368</v>
      </c>
      <c r="C5" s="34" t="s">
        <v>28</v>
      </c>
      <c r="D5" s="34" t="s">
        <v>6</v>
      </c>
      <c r="E5" s="34" t="s">
        <v>29</v>
      </c>
      <c r="F5" s="34" t="s">
        <v>30</v>
      </c>
      <c r="G5" s="34" t="s">
        <v>28</v>
      </c>
      <c r="H5" s="34" t="s">
        <v>6</v>
      </c>
      <c r="I5" s="34" t="s">
        <v>29</v>
      </c>
      <c r="J5" s="34" t="s">
        <v>30</v>
      </c>
      <c r="K5" s="34" t="s">
        <v>31</v>
      </c>
      <c r="L5" s="34" t="s">
        <v>369</v>
      </c>
      <c r="M5" s="34" t="s">
        <v>33</v>
      </c>
      <c r="N5" s="14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3.5" hidden="false" customHeight="true" outlineLevel="0" collapsed="false">
      <c r="A6" s="61" t="s">
        <v>370</v>
      </c>
      <c r="B6" s="62" t="s">
        <v>371</v>
      </c>
      <c r="C6" s="63" t="n">
        <f aca="false" t="array" ref="C6:C6">689130000/Summary!$B$3</f>
        <v>689130</v>
      </c>
      <c r="D6" s="64"/>
      <c r="E6" s="65" t="str">
        <f aca="false" t="array" ref="E6:E6">IF(OR(D6="",C6=""),"",IF(D6=0,IF(C6=0,0,1),(C6-D6)/ABS(D6)))</f>
        <v/>
      </c>
      <c r="F6" s="66" t="str">
        <f aca="false" t="array" ref="F6:F6">IF(E6="","",IF(ABS(E6)&lt;=Summary!$B$4,1,0))</f>
        <v/>
      </c>
      <c r="G6" s="63" t="n">
        <f aca="false" t="array" ref="G6:G6">702180000/Summary!$B$3</f>
        <v>702180</v>
      </c>
      <c r="H6" s="64"/>
      <c r="I6" s="65" t="str">
        <f aca="false" t="array" ref="I6:I6">IF(OR(H6="",G6=""),"",IF(H6=0,IF(G6=0,0,1),(G6-H6)/ABS(H6)))</f>
        <v/>
      </c>
      <c r="J6" s="67" t="str">
        <f aca="false" t="array" ref="J6:J6">IF(I6="","",IF(ABS(I6)&lt;=Summary!$B$4,1,0))</f>
        <v/>
      </c>
      <c r="K6" s="68"/>
      <c r="L6" s="65"/>
      <c r="M6" s="62" t="s">
        <v>372</v>
      </c>
      <c r="N6" s="2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3.5" hidden="false" customHeight="true" outlineLevel="0" collapsed="false">
      <c r="A7" s="19" t="s">
        <v>373</v>
      </c>
      <c r="B7" s="28" t="s">
        <v>374</v>
      </c>
      <c r="C7" s="69" t="n">
        <f aca="false" t="array" ref="C7:C7">2620066000/Summary!$B$3</f>
        <v>2620066</v>
      </c>
      <c r="D7" s="70"/>
      <c r="E7" s="71" t="str">
        <f aca="false" t="array" ref="E7:E7">IF(OR(D7="",C7=""),"",IF(D7=0,IF(C7=0,0,1),(C7-D7)/ABS(D7)))</f>
        <v/>
      </c>
      <c r="F7" s="72" t="str">
        <f aca="false" t="array" ref="F7:F7">IF(E7="","",IF(ABS(E7)&lt;=Summary!$B$4,1,0))</f>
        <v/>
      </c>
      <c r="G7" s="69" t="n">
        <f aca="false" t="array" ref="G7:G7">2601142000/Summary!$B$3</f>
        <v>2601142</v>
      </c>
      <c r="H7" s="70"/>
      <c r="I7" s="71" t="str">
        <f aca="false" t="array" ref="I7:I7">IF(OR(H7="",G7=""),"",IF(H7=0,IF(G7=0,0,1),(G7-H7)/ABS(H7)))</f>
        <v/>
      </c>
      <c r="J7" s="73" t="str">
        <f aca="false" t="array" ref="J7:J7">IF(I7="","",IF(ABS(I7)&lt;=Summary!$B$4,1,0))</f>
        <v/>
      </c>
      <c r="K7" s="74"/>
      <c r="L7" s="71"/>
      <c r="M7" s="28" t="s">
        <v>375</v>
      </c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3.5" hidden="false" customHeight="true" outlineLevel="0" collapsed="false">
      <c r="A8" s="19" t="s">
        <v>376</v>
      </c>
      <c r="B8" s="28" t="s">
        <v>377</v>
      </c>
      <c r="C8" s="69" t="n">
        <f aca="false" t="array" ref="C8:C8">270867000/Summary!$B$3</f>
        <v>270867</v>
      </c>
      <c r="D8" s="70"/>
      <c r="E8" s="71" t="str">
        <f aca="false" t="array" ref="E8:E8">IF(OR(D8="",C8=""),"",IF(D8=0,IF(C8=0,0,1),(C8-D8)/ABS(D8)))</f>
        <v/>
      </c>
      <c r="F8" s="72" t="str">
        <f aca="false" t="array" ref="F8:F8">IF(E8="","",IF(ABS(E8)&lt;=Summary!$B$4,1,0))</f>
        <v/>
      </c>
      <c r="G8" s="69" t="n">
        <f aca="false" t="array" ref="G8:G8">109201000/Summary!$B$3</f>
        <v>109201</v>
      </c>
      <c r="H8" s="70"/>
      <c r="I8" s="71" t="str">
        <f aca="false" t="array" ref="I8:I8">IF(OR(H8="",G8=""),"",IF(H8=0,IF(G8=0,0,1),(G8-H8)/ABS(H8)))</f>
        <v/>
      </c>
      <c r="J8" s="73" t="str">
        <f aca="false" t="array" ref="J8:J8">IF(I8="","",IF(ABS(I8)&lt;=Summary!$B$4,1,0))</f>
        <v/>
      </c>
      <c r="K8" s="74"/>
      <c r="L8" s="71"/>
      <c r="M8" s="28" t="s">
        <v>378</v>
      </c>
      <c r="N8" s="2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3.5" hidden="false" customHeight="true" outlineLevel="0" collapsed="false">
      <c r="A9" s="19" t="s">
        <v>379</v>
      </c>
      <c r="B9" s="28" t="s">
        <v>380</v>
      </c>
      <c r="C9" s="69" t="n">
        <f aca="false" t="array" ref="C9:C9">387940000/Summary!$B$3</f>
        <v>387940</v>
      </c>
      <c r="D9" s="70"/>
      <c r="E9" s="71" t="str">
        <f aca="false" t="array" ref="E9:E9">IF(OR(D9="",C9=""),"",IF(D9=0,IF(C9=0,0,1),(C9-D9)/ABS(D9)))</f>
        <v/>
      </c>
      <c r="F9" s="72" t="str">
        <f aca="false" t="array" ref="F9:F9">IF(E9="","",IF(ABS(E9)&lt;=Summary!$B$4,1,0))</f>
        <v/>
      </c>
      <c r="G9" s="69" t="n">
        <f aca="false" t="array" ref="G9:G9">176688000/Summary!$B$3</f>
        <v>176688</v>
      </c>
      <c r="H9" s="70"/>
      <c r="I9" s="71" t="str">
        <f aca="false" t="array" ref="I9:I9">IF(OR(H9="",G9=""),"",IF(H9=0,IF(G9=0,0,1),(G9-H9)/ABS(H9)))</f>
        <v/>
      </c>
      <c r="J9" s="73" t="str">
        <f aca="false" t="array" ref="J9:J9">IF(I9="","",IF(ABS(I9)&lt;=Summary!$B$4,1,0))</f>
        <v/>
      </c>
      <c r="K9" s="74"/>
      <c r="L9" s="71"/>
      <c r="M9" s="28" t="s">
        <v>381</v>
      </c>
      <c r="N9" s="2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3.5" hidden="false" customHeight="true" outlineLevel="0" collapsed="false">
      <c r="A10" s="2"/>
      <c r="B10" s="2"/>
      <c r="C10" s="2"/>
      <c r="D10" s="75"/>
      <c r="E10" s="2"/>
      <c r="F10" s="2"/>
      <c r="G10" s="2"/>
      <c r="H10" s="75"/>
      <c r="I10" s="2"/>
      <c r="J10" s="2"/>
      <c r="K10" s="75"/>
      <c r="L10" s="2"/>
      <c r="M10" s="2"/>
      <c r="N10" s="2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.7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.7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.7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C4:F4"/>
    <mergeCell ref="G4:J4"/>
  </mergeCells>
  <printOptions headings="false" gridLines="false" gridLinesSet="true" horizontalCentered="false" verticalCentered="false"/>
  <pageMargins left="0.75" right="0.75" top="1" bottom="1" header="0.511811023622047" footer="0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&amp;C000000&amp;P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3"/>
    <col collapsed="false" customWidth="true" hidden="false" outlineLevel="0" max="26" min="8" style="0" width="8.86"/>
  </cols>
  <sheetData>
    <row r="1" customFormat="false" ht="18" hidden="false" customHeight="true" outlineLevel="0" collapsed="false">
      <c r="A1" s="1" t="s">
        <v>382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3.5" hidden="false" customHeight="true" outlineLevel="0" collapsed="false">
      <c r="A2" s="28" t="s">
        <v>383</v>
      </c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3.5" hidden="false" customHeight="true" outlineLevel="0" collapsed="false">
      <c r="A3" s="2"/>
      <c r="B3" s="4"/>
      <c r="C3" s="2"/>
      <c r="D3" s="2"/>
      <c r="E3" s="4"/>
      <c r="F3" s="2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3.5" hidden="false" customHeight="true" outlineLevel="0" collapsed="false">
      <c r="A4" s="30"/>
      <c r="B4" s="31" t="s">
        <v>24</v>
      </c>
      <c r="C4" s="31"/>
      <c r="D4" s="31"/>
      <c r="E4" s="32" t="s">
        <v>25</v>
      </c>
      <c r="F4" s="32"/>
      <c r="G4" s="3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3.5" hidden="false" customHeight="true" outlineLevel="0" collapsed="false">
      <c r="A5" s="12" t="s">
        <v>384</v>
      </c>
      <c r="B5" s="76" t="s">
        <v>385</v>
      </c>
      <c r="C5" s="76" t="s">
        <v>28</v>
      </c>
      <c r="D5" s="76" t="s">
        <v>29</v>
      </c>
      <c r="E5" s="76" t="s">
        <v>385</v>
      </c>
      <c r="F5" s="76" t="s">
        <v>28</v>
      </c>
      <c r="G5" s="77" t="s">
        <v>29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3.5" hidden="false" customHeight="true" outlineLevel="0" collapsed="false">
      <c r="A6" s="15" t="s">
        <v>386</v>
      </c>
      <c r="B6" s="78" t="n">
        <f aca="false" t="array" ref="B6:B6">IF(OR('Income statement'!$D$9=""),"",'Income statement'!$D$9)</f>
        <v>12815550</v>
      </c>
      <c r="C6" s="79" t="n">
        <f aca="false" t="array" ref="C6:C6">12815550000/Summary!$B$3</f>
        <v>12815550</v>
      </c>
      <c r="D6" s="80" t="n">
        <f aca="false" t="array" ref="D6:D6">IF(OR(B6="",C6="",B6="n.m."),"",IF(B6=0,"",(C6-B6)/ABS(B6)))</f>
        <v>0</v>
      </c>
      <c r="E6" s="78" t="n">
        <f aca="false" t="array" ref="E6:E6">IF(OR('Income statement'!$H$9=""),"",'Income statement'!$H$9)</f>
        <v>13643069</v>
      </c>
      <c r="F6" s="79" t="n">
        <f aca="false" t="array" ref="F6:F6">13643069000/Summary!$B$3</f>
        <v>13643069</v>
      </c>
      <c r="G6" s="80" t="n">
        <f aca="false" t="array" ref="G6:G6">IF(OR(E6="",F6="",E6="n.m."),"",IF(E6=0,"",(F6-E6)/ABS(E6)))</f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3.5" hidden="false" customHeight="true" outlineLevel="0" collapsed="false">
      <c r="A7" s="19" t="s">
        <v>66</v>
      </c>
      <c r="B7" s="81" t="n">
        <f aca="false" t="array" ref="B7:B7">IF(OR('Income statement'!$D$18=""),"",'Income statement'!$D$18)</f>
        <v>2090483</v>
      </c>
      <c r="C7" s="82" t="n">
        <f aca="false" t="array" ref="C7:C7">2090483000/Summary!$B$3</f>
        <v>2090483</v>
      </c>
      <c r="D7" s="83" t="n">
        <f aca="false" t="array" ref="D7:D7">IF(OR(B7="",C7="",B7="n.m."),"",IF(B7=0,"",(C7-B7)/ABS(B7)))</f>
        <v>0</v>
      </c>
      <c r="E7" s="81" t="n">
        <f aca="false" t="array" ref="E7:E7">IF(OR('Income statement'!$H$18=""),"",'Income statement'!$H$18)</f>
        <v>2043615</v>
      </c>
      <c r="F7" s="82" t="n">
        <f aca="false" t="array" ref="F7:F7">2043615000/Summary!$B$3</f>
        <v>2043615</v>
      </c>
      <c r="G7" s="83" t="n">
        <f aca="false" t="array" ref="G7:G7">IF(OR(E7="",F7="",E7="n.m."),"",IF(E7=0,"",(F7-E7)/ABS(E7)))</f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3.5" hidden="false" customHeight="true" outlineLevel="0" collapsed="false">
      <c r="A8" s="19" t="s">
        <v>387</v>
      </c>
      <c r="B8" s="81" t="n">
        <f aca="false" t="array" ref="B8:B8">IF(OR('Cash flow'!$D$9=""),"",'Cash flow'!$D$9)</f>
        <v>723860</v>
      </c>
      <c r="C8" s="82" t="n">
        <f aca="false" t="array" ref="C8:C8">723860000/Summary!$B$3</f>
        <v>723860</v>
      </c>
      <c r="D8" s="83" t="n">
        <f aca="false" t="array" ref="D8:D8">IF(OR(B8="",C8="",B8="n.m."),"",IF(B8=0,"",(C8-B8)/ABS(B8)))</f>
        <v>0</v>
      </c>
      <c r="E8" s="81" t="n">
        <f aca="false" t="array" ref="E8:E8">IF(OR('Cash flow'!$H$9=""),"",'Cash flow'!$H$9)</f>
        <v>715348</v>
      </c>
      <c r="F8" s="82" t="n">
        <f aca="false" t="array" ref="F8:F8">715348000/Summary!$B$3</f>
        <v>715348</v>
      </c>
      <c r="G8" s="83" t="n">
        <f aca="false" t="array" ref="G8:G8">IF(OR(E8="",F8="",E8="n.m."),"",IF(E8=0,"",(F8-E8)/ABS(E8)))</f>
        <v>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3.5" hidden="false" customHeight="true" outlineLevel="0" collapsed="false">
      <c r="A9" s="19" t="s">
        <v>388</v>
      </c>
      <c r="B9" s="81" t="n">
        <f aca="false" t="array" ref="B9:B9">IF(OR(B7="",B8=""),"",B7+B8)</f>
        <v>2814343</v>
      </c>
      <c r="C9" s="82" t="n">
        <f aca="false" t="array" ref="C9:C9">2814343000/Summary!$B$3</f>
        <v>2814343</v>
      </c>
      <c r="D9" s="83" t="n">
        <f aca="false" t="array" ref="D9:D9">IF(OR(B9="",C9="",B9="n.m."),"",IF(B9=0,"",(C9-B9)/ABS(B9)))</f>
        <v>0</v>
      </c>
      <c r="E9" s="81" t="n">
        <f aca="false" t="array" ref="E9:E9">IF(OR(E7="",E8=""),"",E7+E8)</f>
        <v>2758963</v>
      </c>
      <c r="F9" s="82" t="n">
        <f aca="false" t="array" ref="F9:F9">2758963000/Summary!$B$3</f>
        <v>2758963</v>
      </c>
      <c r="G9" s="83" t="n">
        <f aca="false" t="array" ref="G9:G9">IF(OR(E9="",F9="",E9="n.m."),"",IF(E9=0,"",(F9-E9)/ABS(E9)))</f>
        <v>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3.5" hidden="false" customHeight="true" outlineLevel="0" collapsed="false">
      <c r="A10" s="19" t="s">
        <v>389</v>
      </c>
      <c r="B10" s="81" t="n">
        <f aca="false" t="array" ref="B10:B10">IF(OR('Income statement'!$D$19=""),"",-'Income statement'!$D$19)</f>
        <v>470469</v>
      </c>
      <c r="C10" s="82" t="n">
        <f aca="false" t="array" ref="C10:C10">470469000/Summary!$B$3</f>
        <v>470469</v>
      </c>
      <c r="D10" s="83" t="n">
        <f aca="false" t="array" ref="D10:D10">IF(OR(B10="",C10="",B10="n.m."),"",IF(B10=0,"",(C10-B10)/ABS(B10)))</f>
        <v>0</v>
      </c>
      <c r="E10" s="81" t="n">
        <f aca="false" t="array" ref="E10:E10">IF(OR('Income statement'!$H$19=""),"",-'Income statement'!$H$19)</f>
        <v>579926</v>
      </c>
      <c r="F10" s="82" t="n">
        <f aca="false" t="array" ref="F10:F10">579926000/Summary!$B$3</f>
        <v>579926</v>
      </c>
      <c r="G10" s="83" t="n">
        <f aca="false" t="array" ref="G10:G10">IF(OR(E10="",F10="",E10="n.m."),"",IF(E10=0,"",(F10-E10)/ABS(E10)))</f>
        <v>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3.5" hidden="false" customHeight="true" outlineLevel="0" collapsed="false">
      <c r="A11" s="19" t="s">
        <v>390</v>
      </c>
      <c r="B11" s="81" t="n">
        <f aca="false" t="array" ref="B11:B11">IF(OR('Balance sheet'!$D$29="",'Balance sheet'!$D$34=""),"",'Balance sheet'!$D$29+'Balance sheet'!$D$34)</f>
        <v>9446770</v>
      </c>
      <c r="C11" s="82" t="n">
        <f aca="false" t="array" ref="C11:C11">9446770000/Summary!$B$3</f>
        <v>9446770</v>
      </c>
      <c r="D11" s="83" t="n">
        <f aca="false" t="array" ref="D11:D11">IF(OR(B11="",C11="",B11="n.m."),"",IF(B11=0,"",(C11-B11)/ABS(B11)))</f>
        <v>0</v>
      </c>
      <c r="E11" s="81" t="n">
        <f aca="false" t="array" ref="E11:E11">IF(OR('Balance sheet'!$H$29="",'Balance sheet'!$H$34=""),"",'Balance sheet'!$H$29+'Balance sheet'!$H$34)</f>
        <v>10273189</v>
      </c>
      <c r="F11" s="82" t="n">
        <f aca="false" t="array" ref="F11:F11">10273189000/Summary!$B$3</f>
        <v>10273189</v>
      </c>
      <c r="G11" s="83" t="n">
        <f aca="false" t="array" ref="G11:G11">IF(OR(E11="",F11="",E11="n.m."),"",IF(E11=0,"",(F11-E11)/ABS(E11)))</f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3.5" hidden="false" customHeight="true" outlineLevel="0" collapsed="false">
      <c r="A12" s="19" t="s">
        <v>391</v>
      </c>
      <c r="B12" s="81" t="n">
        <f aca="false" t="array" ref="B12:B12">IF(OR('Balance sheet'!$D$7=""),"",'Balance sheet'!$D$7)</f>
        <v>794933</v>
      </c>
      <c r="C12" s="82" t="n">
        <f aca="false" t="array" ref="C12:C12">794933000/Summary!$B$3</f>
        <v>794933</v>
      </c>
      <c r="D12" s="83" t="n">
        <f aca="false" t="array" ref="D12:D12">IF(OR(B12="",C12="",B12="n.m."),"",IF(B12=0,"",(C12-B12)/ABS(B12)))</f>
        <v>0</v>
      </c>
      <c r="E12" s="81" t="n">
        <f aca="false" t="array" ref="E12:E12">IF(OR('Balance sheet'!$H$7=""),"",'Balance sheet'!$H$7)</f>
        <v>676438</v>
      </c>
      <c r="F12" s="82" t="n">
        <f aca="false" t="array" ref="F12:F12">676438000/Summary!$B$3</f>
        <v>676438</v>
      </c>
      <c r="G12" s="83" t="n">
        <f aca="false" t="array" ref="G12:G12">IF(OR(E12="",F12="",E12="n.m."),"",IF(E12=0,"",(F12-E12)/ABS(E12)))</f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3.5" hidden="false" customHeight="true" outlineLevel="0" collapsed="false">
      <c r="A13" s="19" t="s">
        <v>392</v>
      </c>
      <c r="B13" s="81" t="n">
        <f aca="false" t="array" ref="B13:B13">IF(OR(B11="",B12=""),"",B11-B12)</f>
        <v>8651837</v>
      </c>
      <c r="C13" s="82" t="n">
        <f aca="false" t="array" ref="C13:C13">8651837000/Summary!$B$3</f>
        <v>8651837</v>
      </c>
      <c r="D13" s="83" t="n">
        <f aca="false" t="array" ref="D13:D13">IF(OR(B13="",C13="",B13="n.m."),"",IF(B13=0,"",(C13-B13)/ABS(B13)))</f>
        <v>0</v>
      </c>
      <c r="E13" s="81" t="n">
        <f aca="false" t="array" ref="E13:E13">IF(OR(E11="",E12=""),"",E11-E12)</f>
        <v>9596751</v>
      </c>
      <c r="F13" s="82" t="n">
        <f aca="false" t="array" ref="F13:F13">9596751000/Summary!$B$3</f>
        <v>9596751</v>
      </c>
      <c r="G13" s="83" t="n">
        <f aca="false" t="array" ref="G13:G13">IF(OR(E13="",F13="",E13="n.m."),"",IF(E13=0,"",(F13-E13)/ABS(E13)))</f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3.5" hidden="false" customHeight="true" outlineLevel="0" collapsed="false">
      <c r="A14" s="19" t="s">
        <v>393</v>
      </c>
      <c r="B14" s="81" t="n">
        <f aca="false" t="array" ref="B14:B14">IF(OR('Cash flow'!$D$29=""),"",-'Cash flow'!$D$29)</f>
        <v>555443</v>
      </c>
      <c r="C14" s="82" t="n">
        <f aca="false" t="array" ref="C14:C14">555443000/Summary!$B$3</f>
        <v>555443</v>
      </c>
      <c r="D14" s="83" t="n">
        <f aca="false" t="array" ref="D14:D14">IF(OR(B14="",C14="",B14="n.m."),"",IF(B14=0,"",(C14-B14)/ABS(B14)))</f>
        <v>0</v>
      </c>
      <c r="E14" s="81" t="n">
        <f aca="false" t="array" ref="E14:E14">IF(OR('Cash flow'!$H$29=""),"",-'Cash flow'!$H$29)</f>
        <v>575864</v>
      </c>
      <c r="F14" s="82" t="n">
        <f aca="false" t="array" ref="F14:F14">575864000/Summary!$B$3</f>
        <v>575864</v>
      </c>
      <c r="G14" s="83" t="n">
        <f aca="false" t="array" ref="G14:G14">IF(OR(E14="",F14="",E14="n.m."),"",IF(E14=0,"",(F14-E14)/ABS(E14)))</f>
        <v>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3.5" hidden="false" customHeight="true" outlineLevel="0" collapsed="false">
      <c r="A15" s="19" t="s">
        <v>394</v>
      </c>
      <c r="B15" s="20" t="str">
        <f aca="false" t="array" ref="B15:B15">IF(Notes!$D$6="","",Notes!$D$6)</f>
        <v/>
      </c>
      <c r="C15" s="82" t="n">
        <f aca="false" t="array" ref="C15:C15">689130000/Summary!$B$3</f>
        <v>689130</v>
      </c>
      <c r="D15" s="23" t="str">
        <f aca="false" t="array" ref="D15:D15">IF(OR(B15="",C15="",B15="n.m."),"",IF(B15=0,"",(C15-B15)/ABS(B15)))</f>
        <v/>
      </c>
      <c r="E15" s="20" t="str">
        <f aca="false" t="array" ref="E15:E15">IF(Notes!$H$6="","",Notes!$H$6)</f>
        <v/>
      </c>
      <c r="F15" s="82" t="n">
        <f aca="false" t="array" ref="F15:F15">702180000/Summary!$B$3</f>
        <v>702180</v>
      </c>
      <c r="G15" s="23" t="str">
        <f aca="false" t="array" ref="G15:G15">IF(OR(E15="",F15="",E15="n.m."),"",IF(E15=0,"",(F15-E15)/ABS(E15)))</f>
        <v/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3.5" hidden="false" customHeight="true" outlineLevel="0" collapsed="false">
      <c r="A16" s="19" t="s">
        <v>395</v>
      </c>
      <c r="B16" s="20" t="str">
        <f aca="false" t="array" ref="B16:B16">IF(Notes!$D$7="","",Notes!$D$7)</f>
        <v/>
      </c>
      <c r="C16" s="82" t="n">
        <f aca="false" t="array" ref="C16:C16">2620066000/Summary!$B$3</f>
        <v>2620066</v>
      </c>
      <c r="D16" s="23" t="str">
        <f aca="false" t="array" ref="D16:D16">IF(OR(B16="",C16="",B16="n.m."),"",IF(B16=0,"",(C16-B16)/ABS(B16)))</f>
        <v/>
      </c>
      <c r="E16" s="20" t="str">
        <f aca="false" t="array" ref="E16:E16">IF(Notes!$H$7="","",Notes!$H$7)</f>
        <v/>
      </c>
      <c r="F16" s="82" t="n">
        <f aca="false" t="array" ref="F16:F16">2601142000/Summary!$B$3</f>
        <v>2601142</v>
      </c>
      <c r="G16" s="23" t="str">
        <f aca="false" t="array" ref="G16:G16">IF(OR(E16="",F16="",E16="n.m."),"",IF(E16=0,"",(F16-E16)/ABS(E16)))</f>
        <v/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3.5" hidden="false" customHeight="true" outlineLevel="0" collapsed="false">
      <c r="A17" s="19" t="s">
        <v>396</v>
      </c>
      <c r="B17" s="20" t="str">
        <f aca="false" t="array" ref="B17:B17">IF(Notes!$D$8="","",Notes!$D$8)</f>
        <v/>
      </c>
      <c r="C17" s="82" t="n">
        <f aca="false" t="array" ref="C17:C17">270867000/Summary!$B$3</f>
        <v>270867</v>
      </c>
      <c r="D17" s="23" t="str">
        <f aca="false" t="array" ref="D17:D17">IF(OR(B17="",C17="",B17="n.m."),"",IF(B17=0,"",(C17-B17)/ABS(B17)))</f>
        <v/>
      </c>
      <c r="E17" s="20" t="str">
        <f aca="false" t="array" ref="E17:E17">IF(Notes!$H$8="","",Notes!$H$8)</f>
        <v/>
      </c>
      <c r="F17" s="82" t="n">
        <f aca="false" t="array" ref="F17:F17">109201000/Summary!$B$3</f>
        <v>109201</v>
      </c>
      <c r="G17" s="23" t="str">
        <f aca="false" t="array" ref="G17:G17">IF(OR(E17="",F17="",E17="n.m."),"",IF(E17=0,"",(F17-E17)/ABS(E17)))</f>
        <v/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3.5" hidden="false" customHeight="true" outlineLevel="0" collapsed="false">
      <c r="A18" s="19" t="s">
        <v>397</v>
      </c>
      <c r="B18" s="20" t="str">
        <f aca="false" t="array" ref="B18:B18">IF(Notes!$D$9="","",Notes!$D$9)</f>
        <v/>
      </c>
      <c r="C18" s="82" t="n">
        <f aca="false" t="array" ref="C18:C18">387940000/Summary!$B$3</f>
        <v>387940</v>
      </c>
      <c r="D18" s="23" t="str">
        <f aca="false" t="array" ref="D18:D18">IF(OR(B18="",C18="",B18="n.m."),"",IF(B18=0,"",(C18-B18)/ABS(B18)))</f>
        <v/>
      </c>
      <c r="E18" s="20" t="str">
        <f aca="false" t="array" ref="E18:E18">IF(Notes!$H$9="","",Notes!$H$9)</f>
        <v/>
      </c>
      <c r="F18" s="82" t="n">
        <f aca="false" t="array" ref="F18:F18">176688000/Summary!$B$3</f>
        <v>176688</v>
      </c>
      <c r="G18" s="23" t="str">
        <f aca="false" t="array" ref="G18:G18">IF(OR(E18="",F18="",E18="n.m."),"",IF(E18=0,"",(F18-E18)/ABS(E18)))</f>
        <v/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3.5" hidden="false" customHeight="true" outlineLevel="0" collapsed="false">
      <c r="A19" s="19" t="s">
        <v>398</v>
      </c>
      <c r="B19" s="20" t="str">
        <f aca="false" t="array" ref="B19:B19">IF(OR(B9="",B15=""),"",B9+B15)</f>
        <v/>
      </c>
      <c r="C19" s="82" t="n">
        <f aca="false" t="array" ref="C19:C19">3503473000/Summary!$B$3</f>
        <v>3503473</v>
      </c>
      <c r="D19" s="23" t="str">
        <f aca="false" t="array" ref="D19:D19">IF(OR(B19="",C19="",B19="n.m."),"",IF(B19=0,"",(C19-B19)/ABS(B19)))</f>
        <v/>
      </c>
      <c r="E19" s="20" t="str">
        <f aca="false" t="array" ref="E19:E19">IF(OR(E9="",E15=""),"",E9+E15)</f>
        <v/>
      </c>
      <c r="F19" s="82" t="n">
        <f aca="false" t="array" ref="F19:F19">3461143000/Summary!$B$3</f>
        <v>3461143</v>
      </c>
      <c r="G19" s="23" t="str">
        <f aca="false" t="array" ref="G19:G19">IF(OR(E19="",F19="",E19="n.m."),"",IF(E19=0,"",(F19-E19)/ABS(E19)))</f>
        <v/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3.5" hidden="false" customHeight="true" outlineLevel="0" collapsed="false">
      <c r="A20" s="19" t="s">
        <v>399</v>
      </c>
      <c r="B20" s="81" t="n">
        <f aca="false" t="array" ref="B20:B20">IF(OR('Balance sheet'!$D$15=""),"",'Balance sheet'!$D$15)</f>
        <v>3746072</v>
      </c>
      <c r="C20" s="82" t="n">
        <f aca="false" t="array" ref="C20:C20">3746072000/Summary!$B$3</f>
        <v>3746072</v>
      </c>
      <c r="D20" s="83" t="n">
        <f aca="false" t="array" ref="D20:D20">IF(OR(B20="",C20="",B20="n.m."),"",IF(B20=0,"",(C20-B20)/ABS(B20)))</f>
        <v>0</v>
      </c>
      <c r="E20" s="81" t="n">
        <f aca="false" t="array" ref="E20:E20">IF(OR('Balance sheet'!$H$15=""),"",'Balance sheet'!$H$15)</f>
        <v>4058003</v>
      </c>
      <c r="F20" s="82" t="n">
        <f aca="false" t="array" ref="F20:F20">4058003000/Summary!$B$3</f>
        <v>4058003</v>
      </c>
      <c r="G20" s="83" t="n">
        <f aca="false" t="array" ref="G20:G20">IF(OR(E20="",F20="",E20="n.m."),"",IF(E20=0,"",(F20-E20)/ABS(E20)))</f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3.5" hidden="false" customHeight="true" outlineLevel="0" collapsed="false">
      <c r="A21" s="19" t="s">
        <v>400</v>
      </c>
      <c r="B21" s="81" t="n">
        <f aca="false" t="array" ref="B21:B21">IF(OR('Balance sheet'!$D$32=""),"",'Balance sheet'!$D$32)</f>
        <v>2973410</v>
      </c>
      <c r="C21" s="82" t="n">
        <f aca="false" t="array" ref="C21:C21">2973410000/Summary!$B$3</f>
        <v>2973410</v>
      </c>
      <c r="D21" s="83" t="n">
        <f aca="false" t="array" ref="D21:D21">IF(OR(B21="",C21="",B21="n.m."),"",IF(B21=0,"",(C21-B21)/ABS(B21)))</f>
        <v>0</v>
      </c>
      <c r="E21" s="81" t="n">
        <f aca="false" t="array" ref="E21:E21">IF(OR('Balance sheet'!$H$32=""),"",'Balance sheet'!$H$32)</f>
        <v>3141634</v>
      </c>
      <c r="F21" s="82" t="n">
        <f aca="false" t="array" ref="F21:F21">3141634000/Summary!$B$3</f>
        <v>3141634</v>
      </c>
      <c r="G21" s="83" t="n">
        <f aca="false" t="array" ref="G21:G21">IF(OR(E21="",F21="",E21="n.m."),"",IF(E21=0,"",(F21-E21)/ABS(E21)))</f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3.5" hidden="false" customHeight="true" outlineLevel="0" collapsed="false">
      <c r="A22" s="2"/>
      <c r="B22" s="2"/>
      <c r="C22" s="2"/>
      <c r="D22" s="2"/>
      <c r="E22" s="2"/>
      <c r="F22" s="2"/>
      <c r="G22" s="2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3.5" hidden="false" customHeight="true" outlineLevel="0" collapsed="false">
      <c r="A23" s="24" t="s">
        <v>401</v>
      </c>
      <c r="B23" s="84" t="n">
        <f aca="false" t="array" ref="B23:B23">IF(OR(B11="",B9=""),"",IF(B9&lt;=0,"n.m.",(B11)/(B9)))</f>
        <v>3.35665197880997</v>
      </c>
      <c r="C23" s="85" t="n">
        <v>3.35665197880998</v>
      </c>
      <c r="D23" s="83" t="n">
        <f aca="false" t="array" ref="D23:D23">IF(OR(B23="",C23="",B23="n.m."),"",IF(B23=0,"",(C23-B23)/ABS(B23)))</f>
        <v>0</v>
      </c>
      <c r="E23" s="84" t="n">
        <f aca="false" t="array" ref="E23:E23">IF(OR(E11="",E9=""),"",IF(E9&lt;=0,"n.m.",(E11)/(E9)))</f>
        <v>3.72356896413616</v>
      </c>
      <c r="F23" s="85" t="n">
        <v>3.72356896413616</v>
      </c>
      <c r="G23" s="83" t="n">
        <f aca="false" t="array" ref="G23:G23">IF(OR(E23="",F23="",E23="n.m."),"",IF(E23=0,"",(F23-E23)/ABS(E23)))</f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3.5" hidden="false" customHeight="true" outlineLevel="0" collapsed="false">
      <c r="A24" s="24" t="s">
        <v>402</v>
      </c>
      <c r="B24" s="84" t="n">
        <f aca="false" t="array" ref="B24:B24">IF(OR(B13="",B9=""),"",IF(B9&lt;=0,"n.m.",(B13)/(B9)))</f>
        <v>3.07419422579266</v>
      </c>
      <c r="C24" s="85" t="n">
        <v>3.07419422579266</v>
      </c>
      <c r="D24" s="83" t="n">
        <f aca="false" t="array" ref="D24:D24">IF(OR(B24="",C24="",B24="n.m."),"",IF(B24=0,"",(C24-B24)/ABS(B24)))</f>
        <v>0</v>
      </c>
      <c r="E24" s="84" t="n">
        <f aca="false" t="array" ref="E24:E24">IF(OR(E13="",E9=""),"",IF(E9&lt;=0,"n.m.",(E13)/(E9)))</f>
        <v>3.47839061270485</v>
      </c>
      <c r="F24" s="85" t="n">
        <v>3.47839061270485</v>
      </c>
      <c r="G24" s="83" t="n">
        <f aca="false" t="array" ref="G24:G24">IF(OR(E24="",F24="",E24="n.m."),"",IF(E24=0,"",(F24-E24)/ABS(E24)))</f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3.5" hidden="false" customHeight="true" outlineLevel="0" collapsed="false">
      <c r="A25" s="24" t="s">
        <v>403</v>
      </c>
      <c r="B25" s="20" t="str">
        <f aca="false" t="array" ref="B25:B25">IF(OR(B11="",B16="",B19=""),"",IF(B19&lt;=0,"n.m.",(B11+B16)/(B19)))</f>
        <v/>
      </c>
      <c r="C25" s="85" t="n">
        <v>3.44424974874931</v>
      </c>
      <c r="D25" s="23" t="str">
        <f aca="false" t="array" ref="D25:D25">IF(OR(B25="",C25="",B25="n.m."),"",IF(B25=0,"",(C25-B25)/ABS(B25)))</f>
        <v/>
      </c>
      <c r="E25" s="20" t="str">
        <f aca="false" t="array" ref="E25:E25">IF(OR(E11="",E16="",E19=""),"",IF(E19&lt;=0,"n.m.",(E11+E16)/(E19)))</f>
        <v/>
      </c>
      <c r="F25" s="85" t="n">
        <v>3.71967613011078</v>
      </c>
      <c r="G25" s="23" t="str">
        <f aca="false" t="array" ref="G25:G25">IF(OR(E25="",F25="",E25="n.m."),"",IF(E25=0,"",(F25-E25)/ABS(E25)))</f>
        <v/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3.5" hidden="false" customHeight="true" outlineLevel="0" collapsed="false">
      <c r="A26" s="24" t="s">
        <v>404</v>
      </c>
      <c r="B26" s="84" t="n">
        <f aca="false" t="array" ref="B26:B26">IF(OR(B9="",B10=""),"",IF(B10&lt;=0,"n.m.",(B9)/(B10)))</f>
        <v>5.98199456287237</v>
      </c>
      <c r="C26" s="85" t="n">
        <v>5.98199456287237</v>
      </c>
      <c r="D26" s="83" t="n">
        <f aca="false" t="array" ref="D26:D26">IF(OR(B26="",C26="",B26="n.m."),"",IF(B26=0,"",(C26-B26)/ABS(B26)))</f>
        <v>0</v>
      </c>
      <c r="E26" s="84" t="n">
        <f aca="false" t="array" ref="E26:E26">IF(OR(E9="",E10=""),"",IF(E10&lt;=0,"n.m.",(E9)/(E10)))</f>
        <v>4.75743974231195</v>
      </c>
      <c r="F26" s="85" t="n">
        <v>4.75743974231195</v>
      </c>
      <c r="G26" s="83" t="n">
        <f aca="false" t="array" ref="G26:G26">IF(OR(E26="",F26="",E26="n.m."),"",IF(E26=0,"",(F26-E26)/ABS(E26)))</f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3.5" hidden="false" customHeight="true" outlineLevel="0" collapsed="false">
      <c r="A27" s="24" t="s">
        <v>405</v>
      </c>
      <c r="B27" s="20" t="str">
        <f aca="false" t="array" ref="B27:B27">IF(OR(B9="",B14="",B18="",B10="",B17=""),"",IF(B10+B17&lt;=0,"n.m.",(B9-B14-B18)/(B10+B17)))</f>
        <v/>
      </c>
      <c r="C27" s="85" t="n">
        <v>2.52376790011547</v>
      </c>
      <c r="D27" s="23" t="str">
        <f aca="false" t="array" ref="D27:D27">IF(OR(B27="",C27="",B27="n.m."),"",IF(B27=0,"",(C27-B27)/ABS(B27)))</f>
        <v/>
      </c>
      <c r="E27" s="20" t="str">
        <f aca="false" t="array" ref="E27:E27">IF(OR(E9="",E14="",E18="",E10="",E17=""),"",IF(E10+E17&lt;=0,"n.m.",(E9-E14-E18)/(E10+E17)))</f>
        <v/>
      </c>
      <c r="F27" s="85" t="n">
        <v>2.9115257419895</v>
      </c>
      <c r="G27" s="23" t="str">
        <f aca="false" t="array" ref="G27:G27">IF(OR(E27="",F27="",E27="n.m."),"",IF(E27=0,"",(F27-E27)/ABS(E27)))</f>
        <v/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3.5" hidden="false" customHeight="true" outlineLevel="0" collapsed="false">
      <c r="A28" s="24" t="s">
        <v>406</v>
      </c>
      <c r="B28" s="84" t="n">
        <f aca="false" t="array" ref="B28:B28">IF(OR(B20="",B21=""),"",IF(B21&lt;=0,"n.m.",(B20)/(B21)))</f>
        <v>1.25985720099145</v>
      </c>
      <c r="C28" s="85" t="n">
        <v>1.25985720099145</v>
      </c>
      <c r="D28" s="83" t="n">
        <f aca="false" t="array" ref="D28:D28">IF(OR(B28="",C28="",B28="n.m."),"",IF(B28=0,"",(C28-B28)/ABS(B28)))</f>
        <v>0</v>
      </c>
      <c r="E28" s="84" t="n">
        <f aca="false" t="array" ref="E28:E28">IF(OR(E20="",E21=""),"",IF(E21&lt;=0,"n.m.",(E20)/(E21)))</f>
        <v>1.29168547322826</v>
      </c>
      <c r="F28" s="85" t="n">
        <v>1.29168547322826</v>
      </c>
      <c r="G28" s="83" t="n">
        <f aca="false" t="array" ref="G28:G28">IF(OR(E28="",F28="",E28="n.m."),"",IF(E28=0,"",(F28-E28)/ABS(E28)))</f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.7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.7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B4:D4"/>
    <mergeCell ref="E4:G4"/>
  </mergeCells>
  <printOptions headings="false" gridLines="false" gridLinesSet="true" horizontalCentered="false" verticalCentered="false"/>
  <pageMargins left="0.75" right="0.75" top="1" bottom="1" header="0.511811023622047" footer="0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2026-10-21T20:19:18Z</dcterms:created>
  <dc:creator>openpyxl</dc:creator>
  <dc:description/>
  <dc:language>en-US</dc:language>
  <cp:lastModifiedBy/>
  <dcterms:modified xsi:type="dcterms:W3CDTF">2026-10-21T20:19:19Z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